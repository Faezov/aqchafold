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6"/>
  </bookViews>
  <sheets>
    <sheet name="Lists" sheetId="1" r:id="rId1"/>
    <sheet name="Transactions" sheetId="2" r:id="rId2"/>
    <sheet name="Monthly Summary" sheetId="3" r:id="rId3"/>
    <sheet name="Budget" sheetId="4" r:id="rId4"/>
    <sheet name="Review" sheetId="5" r:id="rId5"/>
    <sheet name="Assumptions" sheetId="6" r:id="rId6"/>
    <sheet name="Dashboard" sheetId="7" r:id="rId7"/>
  </sheets>
  <calcPr calcId="124519" fullCalcOnLoad="1"/>
</workbook>
</file>

<file path=xl/sharedStrings.xml><?xml version="1.0" encoding="utf-8"?>
<sst xmlns="http://schemas.openxmlformats.org/spreadsheetml/2006/main" count="1558" uniqueCount="523">
  <si>
    <t>Category</t>
  </si>
  <si>
    <t>Housing - Rent</t>
  </si>
  <si>
    <t>Groceries</t>
  </si>
  <si>
    <t>Dining &amp; Coffee</t>
  </si>
  <si>
    <t>Utilities &amp; Phone</t>
  </si>
  <si>
    <t>Transport</t>
  </si>
  <si>
    <t>Fitness &amp; Memberships</t>
  </si>
  <si>
    <t>Health &amp; Pharmacy</t>
  </si>
  <si>
    <t>Shopping</t>
  </si>
  <si>
    <t>Beauty &amp; Personal Care</t>
  </si>
  <si>
    <t>Home &amp; Household</t>
  </si>
  <si>
    <t>Entertainment &amp; Experiences</t>
  </si>
  <si>
    <t>Subscriptions &amp; Donations</t>
  </si>
  <si>
    <t>Bank Fees</t>
  </si>
  <si>
    <t>Government &amp; Admin</t>
  </si>
  <si>
    <t>Travel</t>
  </si>
  <si>
    <t>Cash Withdrawal</t>
  </si>
  <si>
    <t>Other</t>
  </si>
  <si>
    <t>Transfer Out</t>
  </si>
  <si>
    <t>Transfer In</t>
  </si>
  <si>
    <t>Income - Recurring Direct Credit</t>
  </si>
  <si>
    <t>Income - Refund/Reimbursement</t>
  </si>
  <si>
    <t>Income - Other Credit</t>
  </si>
  <si>
    <t>Date</t>
  </si>
  <si>
    <t>Description</t>
  </si>
  <si>
    <t>Details</t>
  </si>
  <si>
    <t>Amount (AUD)</t>
  </si>
  <si>
    <t>Debit (AUD)</t>
  </si>
  <si>
    <t>Credit (AUD)</t>
  </si>
  <si>
    <t>Statement Balance (AUD)</t>
  </si>
  <si>
    <t>Month</t>
  </si>
  <si>
    <t>Parse Status</t>
  </si>
  <si>
    <t>Source Page</t>
  </si>
  <si>
    <t>Raw PDF text</t>
  </si>
  <si>
    <t>HAWAIIAN1734212522763 PARIS FR</t>
  </si>
  <si>
    <t>Card xx6220 USD 23.00 | Value Date 29/10/2025</t>
  </si>
  <si>
    <t>2025-11</t>
  </si>
  <si>
    <t>High confidence</t>
  </si>
  <si>
    <t>01 Nov HAWAIIAN1734212522763 PARIS FR FRA | Card xx6220 USD 23.00 | Value Date 29/10/2025 35.16 7,624.16 CR | 0303</t>
  </si>
  <si>
    <t>International Transaction Fee</t>
  </si>
  <si>
    <t>Value Date 29/10/2025</t>
  </si>
  <si>
    <t>01 Nov International Transaction Fee | Value Date 29/10/2025 1.23 7,622.93 CR | ZZ258R3</t>
  </si>
  <si>
    <t>THE TASTE OF ASIAN PTY MASCOT AUS</t>
  </si>
  <si>
    <t>Card xx0018 | Value Date 30/10/2025</t>
  </si>
  <si>
    <t>01 Nov THE TASTE OF ASIAN PTY MASCOT AUS | Card xx0018 | Value Date 30/10/2025 20.00 7,602.93 CR | 3162.10484.1.6</t>
  </si>
  <si>
    <t>UBER *TRIP HELP.UBER.C 14518236738</t>
  </si>
  <si>
    <t>Card xx0018 | Value Date 31/10/2025 | TELLO MOBILE ATLANTA GA USA | Card xx0018 USD 11.78 | Value Date 30/10/2025</t>
  </si>
  <si>
    <t>01 Nov UBER *TRIP HELP.UBER.C 14518236738 AU AU | Card xx0018 | Value Date 31/10/2025 5.00 7,597.93 CR | * | * 01 Nov TELLO MOBILE ATLANTA GA USA | Card xx0018 USD 11.78 | Value Date 30/10/2025 18.01 7,579.92 CR</t>
  </si>
  <si>
    <t>Amount mismatch: columns -0.63, balance delta -18.64; used balance</t>
  </si>
  <si>
    <t>01 Nov International Transaction Fee | Value Date 29/10/2025 0.63 7,579.29 CR</t>
  </si>
  <si>
    <t>Liv Eat Mascot NS AUS</t>
  </si>
  <si>
    <t>Card xx0018 | Value Date 29/10/2025</t>
  </si>
  <si>
    <t>01 Nov Liv Eat Mascot NS AUS | Card xx0018 | Value Date 29/10/2025 6.09 7,573.20 CR</t>
  </si>
  <si>
    <t>01 Nov UBER *TRIP HELP.UBER.C 14518236738 AU AU | Card xx0018 | Value Date 30/10/2025 5.00 7,568.20 CR</t>
  </si>
  <si>
    <t>01 Nov UBER *TRIP HELP.UBER.C 14518236738 AU AU | Card xx0018 | Value Date 30/10/2025 67.79 7,500.41 CR</t>
  </si>
  <si>
    <t>01 Nov UBER *TRIP HELP.UBER.C 14518236738 AU AU | Card xx0018 | Value Date 30/10/2025 5.00 7,495.41 CR</t>
  </si>
  <si>
    <t>Direct Debit 545383 Telstra Services</t>
  </si>
  <si>
    <t>hn4vs2tp</t>
  </si>
  <si>
    <t>03 Nov Direct Debit 545383 Telstra Services | hn4vs2tp 10.00 7,485.41 CR</t>
  </si>
  <si>
    <t>Direct Debit 012495 GU HEALTH D/DBT</t>
  </si>
  <si>
    <t>29497443</t>
  </si>
  <si>
    <t>03 Nov Direct Debit 012495 GU HEALTH D/DBT | 29497443 65.76 7,419.65 CR</t>
  </si>
  <si>
    <t>KEN'S MARKET 75-116 SEATTLE WA</t>
  </si>
  <si>
    <t>Card xx0018 USD 2.75 | Value Date 01/11/2025</t>
  </si>
  <si>
    <t>04 Nov KEN'S MARKET 75-116 SEATTLE WA USA | Card xx0018 USD 2.75 | Value Date 01/11/2025 4.21 7,415.44 CR</t>
  </si>
  <si>
    <t>Value Date 31/10/2025</t>
  </si>
  <si>
    <t>04 Nov International Transaction Fee | Value Date 31/10/2025 0.15 7,415.29 CR</t>
  </si>
  <si>
    <t>AIRBNB * HMMCN3N8CD LONDON GB</t>
  </si>
  <si>
    <t>Card xx0018 USD 94.62 | Value Date 01/11/2025</t>
  </si>
  <si>
    <t>04 Nov AIRBNB * HMMCN3N8CD LONDON GB GBR | Card xx0018 USD 94.62 | Value Date 01/11/2025 144.88 7,270.41 CR</t>
  </si>
  <si>
    <t>Value Date 01/11/2025</t>
  </si>
  <si>
    <t>04 Nov International Transaction Fee | Value Date 01/11/2025 5.07 7,265.34 CR</t>
  </si>
  <si>
    <t>SQ *COFFEEHOLIC HOUSE Seattle WA</t>
  </si>
  <si>
    <t>Card xx0018 USD 15.56 | Value Date 01/11/2025 | International Transaction Fee | Value Date 31/10/2025 | &amp; J TRADING UP PTY DEE WHY NS | Card xx0018 | Value Date 30/10/2025 | QUIZNOS DIAMOND H HNL HONOLULU | Card xx0018 USD 15.70 | Value Date 31/10/2025</t>
  </si>
  <si>
    <t>04 Nov SQ *COFFEEHOLIC HOUSE Seattle WA USA | Card xx0018 USD 15.56 | Value Date 01/11/2025 23.82 7,241.52 CR | SL.R3.S141.D338.OV06.00.37 04 Nov International Transaction Fee | Value Date 31/10/2025 0.83 7,240.69 CR | 04 Nov M &amp; J TRADING UP PTY DEE WHY NS AUS | Card xx0018 | Value Date 30/10/2025 6.30 7,234.39 CR | 0303 04 Nov QUIZNOS DIAMOND H HNL HONOLULU HI USA | Card xx0018 USD 15.70 | ZZ258R3 Value Date 31/10/2025 24.04 7,210.35 CR</t>
  </si>
  <si>
    <t>Value Date 30/10/2025 | STARBUCKS T2 G3 HNL HONOLULU HI | Card xx0018 USD 7.17 | Value Date 31/10/2025</t>
  </si>
  <si>
    <t>Amount mismatch: columns -0.84, balance delta -32.01; used balance</t>
  </si>
  <si>
    <t>04 Nov International Transaction Fee | Value Date 30/10/2025 0.84 7,209.51 CR | 3162.10484.1.6 04 Nov STARBUCKS T2 G3 HNL HONOLULU HI USA | Card xx0018 USD 7.17 | Value Date 31/10/2025 10.98 7,198.53 CR</t>
  </si>
  <si>
    <t>Value Date 30/10/2025</t>
  </si>
  <si>
    <t>Amount mismatch: columns -0.38, balance delta -11.36; used balance</t>
  </si>
  <si>
    <t>04 Nov International Transaction Fee | Value Date 30/10/2025 0.38 7,198.15 CR</t>
  </si>
  <si>
    <t>SQ *PAGES &amp; PAGES HONO Honolulu</t>
  </si>
  <si>
    <t>Card xx0018 USD 4.99 | Value Date 31/10/2025</t>
  </si>
  <si>
    <t>04 Nov SQ *PAGES &amp; PAGES HONO Honolulu HI USA | Card xx0018 USD 4.99 | Value Date 31/10/2025 7.64 7,190.51 CR</t>
  </si>
  <si>
    <t>04 Nov International Transaction Fee | Value Date 30/10/2025 0.27 7,190.24 CR</t>
  </si>
  <si>
    <t>SQ *SIFF CINEMA DOWNTO Seattle WA</t>
  </si>
  <si>
    <t>Card xx0018 USD 10.00 | Value Date 03/11/2025</t>
  </si>
  <si>
    <t>05 Nov SQ *SIFF CINEMA DOWNTO Seattle WA USA | Card xx0018 USD 10.00 | Value Date 03/11/2025 15.31 7,174.93 CR</t>
  </si>
  <si>
    <t>Value Date 02/11/2025</t>
  </si>
  <si>
    <t>05 Nov International Transaction Fee | Value Date 02/11/2025 0.54 7,174.39 CR</t>
  </si>
  <si>
    <t>SP MUTO.ARTONTHETABLE SEATTLE</t>
  </si>
  <si>
    <t>Card xx0018 USD 104.07 | Value Date 03/11/2025</t>
  </si>
  <si>
    <t>05 Nov SP MUTO.ARTONTHETABLE SEATTLE WA USA | Card xx0018 USD 104.07 | Value Date 03/11/2025 159.35 7,015.04 CR</t>
  </si>
  <si>
    <t>05 Nov International Transaction Fee | Value Date 02/11/2025 5.58 7,009.46 CR</t>
  </si>
  <si>
    <t>XING FU TANG SEATTLE WA USA</t>
  </si>
  <si>
    <t>Card xx0018 USD 9.25 | Value Date 03/11/2025</t>
  </si>
  <si>
    <t>05 Nov XING FU TANG SEATTLE WA USA | Card xx0018 USD 9.25 | Value Date 03/11/2025 14.16 6,995.30 CR</t>
  </si>
  <si>
    <t>05 Nov International Transaction Fee | Value Date 02/11/2025 0.50 6,994.80 CR</t>
  </si>
  <si>
    <t>Direct Debit 507156 MBAUDPayments</t>
  </si>
  <si>
    <t>AMBITIONS_TMX2KwR7</t>
  </si>
  <si>
    <t>05 Nov Direct Debit 507156 MBAUDPayments | AMBITIONS_TMX2KwR7 68.00 6,926.80 CR | =àXOÌ2)</t>
  </si>
  <si>
    <t>5ygn68fy</t>
  </si>
  <si>
    <t>05 Nov Direct Debit 545383 Telstra Services | 5ygn68fy 10.00 6,916.80 CR</t>
  </si>
  <si>
    <t>DEFT REAL ESTATE NetBank BPAY 4481</t>
  </si>
  <si>
    <t>0053436473 Rent may 9 to 23</t>
  </si>
  <si>
    <t>06 Nov DEFT REAL ESTATE NetBank BPAY 4481 | 0053436473 Rent may 9 to 23 1,700.00 5,216.80 CR</t>
  </si>
  <si>
    <t>SQ *ASHURI BAKLAVA CAF Bellingham</t>
  </si>
  <si>
    <t>Card xx0018 USD 36.98 | Value Date 04/11/2025</t>
  </si>
  <si>
    <t>06 Nov SQ *ASHURI BAKLAVA CAF Bellingham WA USA | Card xx0018 USD 36.98 | Value Date 04/11/2025 56.62 5,160.18 CR</t>
  </si>
  <si>
    <t>Value Date 03/11/2025</t>
  </si>
  <si>
    <t>06 Nov International Transaction Fee | Value Date 03/11/2025 1.98 5,158.20 CR</t>
  </si>
  <si>
    <t>SQ *HAYES COFFEE CO Arlington WA</t>
  </si>
  <si>
    <t>Card xx0018 USD 9.12 | Value Date 04/11/2025</t>
  </si>
  <si>
    <t>06 Nov SQ *HAYES COFFEE CO Arlington WA USA | Card xx0018 USD 9.12 | Value Date 04/11/2025 14.00 5,144.20 CR</t>
  </si>
  <si>
    <t>06 Nov International Transaction Fee | V06.00.37 | Value Date 03/11/2025 0.49 5,143.71 CR</t>
  </si>
  <si>
    <t>EXXON LAKEWAY STATION BELLINGHAM</t>
  </si>
  <si>
    <t>Card xx0018 USD 8.68 | Value Date 04/11/2025</t>
  </si>
  <si>
    <t>06 Nov EXXON LAKEWAY STATION BELLINGHAM WA USA | Card xx0018 USD 8.68 | Value Date 04/11/2025 13.29 5,130.42 CR | SL.R3.S141.D338.O</t>
  </si>
  <si>
    <t>06 Nov International Transaction Fee | Value Date 03/11/2025 0.47 5,129.95 CR</t>
  </si>
  <si>
    <t>TH*Greencare Clinics Sydney NS AUS</t>
  </si>
  <si>
    <t>Card xx0018 | Value Date 06/11/2025 | SQ *Y'NO DY Dee Why AU</t>
  </si>
  <si>
    <t>07 Nov TH*Greencare Clinics Sydney NS AUS | 0303 Card xx0018 | Value Date 06/11/2025 99.00 5,030.95 CR | ZZ258R3 07 Nov SQ *Y'NO DY Dee Why AU 4.50 5,026.45 CR</t>
  </si>
  <si>
    <t>SQ *TOASTIESMITH TGV Sydney AU</t>
  </si>
  <si>
    <t>Amount mismatch: columns -8.63, balance delta -13.13; used balance</t>
  </si>
  <si>
    <t>07 Nov SQ *TOASTIESMITH TGV Sydney AU 8.63 5,017.82 CR</t>
  </si>
  <si>
    <t>TRANSPORTFORNSW OPAL CHIPPENDALE</t>
  </si>
  <si>
    <t>Card xx6220 | Value Date 07/11/2025</t>
  </si>
  <si>
    <t>08 Nov TRANSPORTFORNSW OPAL CHIPPENDALE AUS | 3162.10485.2.6 Card xx6220 | Value Date 07/11/2025 60.00 4,957.82 CR</t>
  </si>
  <si>
    <t>Card xx0018 | Value Date 06/11/2025</t>
  </si>
  <si>
    <t>08 Nov UBER *TRIP HELP.UBER.C 14518236738 AU AU | Card xx0018 | Value Date 06/11/2025 103.02 4,854.80 CR</t>
  </si>
  <si>
    <t>Card xx0018 USD 3.99 | Value Date 06/11/2025</t>
  </si>
  <si>
    <t>08 Nov SQ *PAGES &amp; PAGES HONO Honolulu HI USA | Card xx0018 USD 3.99 | Value Date 06/11/2025 6.18 4,848.62 CR</t>
  </si>
  <si>
    <t>Value Date 05/11/2025</t>
  </si>
  <si>
    <t>08 Nov International Transaction Fee | Value Date 05/11/2025 0.22 4,848.40 CR</t>
  </si>
  <si>
    <t>WENDY'S 13238-615 SEATTLE WA</t>
  </si>
  <si>
    <t>Card xx0018 USD 5.81 | Value Date 06/11/2025</t>
  </si>
  <si>
    <t>08 Nov WENDY'S 13238-615 SEATTLE WA USA | Card xx0018 USD 5.81 | Value Date 06/11/2025 8.97 4,839.43 CR</t>
  </si>
  <si>
    <t>08 Nov International Transaction Fee | Value Date 05/11/2025 0.31 4,839.12 CR</t>
  </si>
  <si>
    <t>PIKE&amp;PINE ST2275 SEATTLE WA USA</t>
  </si>
  <si>
    <t>Card xx0018 USD 5.82 | Value Date 06/11/2025</t>
  </si>
  <si>
    <t>08 Nov PIKE&amp;PINE ST2275 SEATTLE WA USA | Card xx0018 USD 5.82 | Value Date 06/11/2025 8.98 4,830.14 CR</t>
  </si>
  <si>
    <t>08 Nov International Transaction Fee | Value Date 05/11/2025 0.31 4,829.83 CR</t>
  </si>
  <si>
    <t>SQ *SACREBLEU | CANELE dee why AU</t>
  </si>
  <si>
    <t>08 Nov SQ *SACREBLEU | CANELE dee why AU 8.12 4,821.71 CR</t>
  </si>
  <si>
    <t>COLES 0784 DEE WHY AU</t>
  </si>
  <si>
    <t>08 Nov COLES 0784 DEE WHY AU 24.89 4,796.82 CR</t>
  </si>
  <si>
    <t>SQ *Y'NO DY Dee Why AU</t>
  </si>
  <si>
    <t>09 Nov SQ *Y'NO DY Dee Why AU 4.50 4,792.32 CR</t>
  </si>
  <si>
    <t>09 Nov SQ *SACREBLEU | CANELE dee why AU 14.20 4,778.12 CR</t>
  </si>
  <si>
    <t>Subway Kent 24 Market StrAU</t>
  </si>
  <si>
    <t>10 Nov Subway Kent 24 Market StrAU 4.50 4,773.62 CR</t>
  </si>
  <si>
    <t>Subway Dee Why 7 Oaks AvenueAU</t>
  </si>
  <si>
    <t>10 Nov Subway Dee Why 7 Oaks AvenueAU 2.95 4,770.67 CR</t>
  </si>
  <si>
    <t>SP TEA LIFE NORTH SAINT M NS AUS</t>
  </si>
  <si>
    <t>Card xx6220 | Value Date 09/11/2025</t>
  </si>
  <si>
    <t>11 Nov SP TEA LIFE NORTH SAINT M NS AUS | Card xx6220 | Value Date 09/11/2025 64.70 4,705.97 CR</t>
  </si>
  <si>
    <t>Return UBER *TRIP HELP.UBER.C</t>
  </si>
  <si>
    <t>Card xx0018 | Value Date 09/11/2025</t>
  </si>
  <si>
    <t>11 Nov Return UBER *TRIP HELP.UBER.C 1451823673 | Card xx0018 | Value Date 09/11/2025 0.02 4,705.99 CR</t>
  </si>
  <si>
    <t>11 Nov UBER *TRIP HELP.UBER.C 14518236738 AU AU | Card xx0018 | Value Date 09/11/2025 3.00 4,702.99 CR</t>
  </si>
  <si>
    <t>GREENHOUSE KIRRIBILLI Kirribilli NS</t>
  </si>
  <si>
    <t>11 Nov GREENHOUSE KIRRIBILLI Kirribilli NS AUS | Card xx0018 | Value Date 09/11/2025 43.20 4,659.79 CR</t>
  </si>
  <si>
    <t>11 Nov UBER *TRIP HELP.UBER.C 14518236738 AU AU | V06.00.37 | Card xx0018 | Value Date 09/11/2025 12.75 4,647.04 CR</t>
  </si>
  <si>
    <t>BWS LIQUOR 1653 KIRRIBILLI NS AUS</t>
  </si>
  <si>
    <t>11 Nov BWS LIQUOR 1653 KIRRIBILLI NS AUS | Card xx0018 | SL.R3.S141.D338.O Value Date 09/11/2025 6.50 4,640.54 CR</t>
  </si>
  <si>
    <t>11 Nov UBER *TRIP HELP.UBER.C 14518236738 AU AU | Card xx0018 | Value Date 09/11/2025 16.03 4,624.51 CR | 0303</t>
  </si>
  <si>
    <t>COLES 0784 DEE WHY 02 AUS</t>
  </si>
  <si>
    <t>Card xx0018 | Value Date 07/11/2025</t>
  </si>
  <si>
    <t>11 Nov COLES 0784 DEE WHY 02 AUS | Card xx0018 | ZZ258R3 | Value Date 07/11/2025 64.39 4,560.12 CR</t>
  </si>
  <si>
    <t>GARDENIA ESPRESSO SYDNEY NS AUS</t>
  </si>
  <si>
    <t>11 Nov GARDENIA ESPRESSO SYDNEY NS AUS | Card xx0018 | 3162.10485.2.6 Value Date 07/11/2025 11.50 4,548.62 CR</t>
  </si>
  <si>
    <t>B5 Cafe Narraweena NS AUS</t>
  </si>
  <si>
    <t>Card xx0018 | Value Date 08/11/2025</t>
  </si>
  <si>
    <t>11 Nov B5 Cafe Narraweena NS AUS | Card xx0018 | Value Date 08/11/2025 22.73 4,525.89 CR</t>
  </si>
  <si>
    <t>UBER *EATS HELP.UBER.C Sydney AU</t>
  </si>
  <si>
    <t>11 Nov UBER *EATS HELP.UBER.C Sydney AU AUS | Card xx0018 | Value Date 07/11/2025 258.58 4,267.31 CR</t>
  </si>
  <si>
    <t>LOCALI BY ROMEOS SYDNEY NS AUS</t>
  </si>
  <si>
    <t>11 Nov LOCALI BY ROMEOS SYDNEY NS AUS | Card xx0018 | Value Date 07/11/2025 17.88 4,249.43 CR</t>
  </si>
  <si>
    <t>SMP*Hero Sushi Dee Why Dee Why02</t>
  </si>
  <si>
    <t>11 Nov SMP*Hero Sushi Dee Why Dee Why02 AU 4.55 4,244.88 CR</t>
  </si>
  <si>
    <t>11 Nov COLES 0784 DEE WHY AU 6.30 4,238.58 CR</t>
  </si>
  <si>
    <t>DD *DOORDASH OPORTO MELBOURNE</t>
  </si>
  <si>
    <t>Card xx6220 | Value Date 10/11/2025</t>
  </si>
  <si>
    <t>12 Nov DD *DOORDASH OPORTO MELBOURNE VI AUS | Card xx6220 | Value Date 10/11/2025 7.00 4,231.58 CR</t>
  </si>
  <si>
    <t>NEXGEN PHARMA CASTLE HILL NS AUS</t>
  </si>
  <si>
    <t>12 Nov NEXGEN PHARMA CASTLE HILL NS AUS | Card xx6220 | Value Date 10/11/2025 305.00 3,926.58 CR</t>
  </si>
  <si>
    <t>TRANSPORTFORNSW TAP SYDNEY AUS</t>
  </si>
  <si>
    <t>Card xx0018 | Value Date 10/11/2025</t>
  </si>
  <si>
    <t>12 Nov TRANSPORTFORNSW TAP SYDNEY AUS | Card xx0018 | Value Date 10/11/2025 4.03 3,922.55 CR</t>
  </si>
  <si>
    <t>OH MATCHA SYDNEY AUS</t>
  </si>
  <si>
    <t>12 Nov OH MATCHA SYDNEY AUS | Card xx0018 | Value Date 10/11/2025 7.31 3,915.24 CR</t>
  </si>
  <si>
    <t>MARGOT ESPRESSO SYDNEY NS AUS</t>
  </si>
  <si>
    <t>Card xx0018 | Value Date 10/11/2025 | MARKET ST CAFE SYDNEY NS AUS | Card xx0018 | Value Date 10/11/2025</t>
  </si>
  <si>
    <t>12 Nov MARGOT ESPRESSO SYDNEY NS AUS | Card xx0018 | Value Date 10/11/2025 4.08 3,911.16 CR | =àXOÌ3) 12 Nov 2 MARKET ST CAFE SYDNEY NS AUS | Card xx0018 | Value Date 10/11/2025 4.50 3,906.66 CR</t>
  </si>
  <si>
    <t>Amount mismatch: columns -4.50, balance delta -9.00; used balance</t>
  </si>
  <si>
    <t>12 Nov SQ *Y'NO DY Dee Why AU 4.50 3,902.16 CR</t>
  </si>
  <si>
    <t>SUPERB SUNNY PTY LTD Sydney AU</t>
  </si>
  <si>
    <t>12 Nov SUPERB SUNNY PTY LTD Sydney AU 7.40 3,894.76 CR</t>
  </si>
  <si>
    <t>12 Nov SMP*Hero Sushi Dee Why Dee Why02 AU 4.55 3,890.21 CR</t>
  </si>
  <si>
    <t>AMBITIONS_TP9cGCtc</t>
  </si>
  <si>
    <t>12 Nov Direct Debit 507156 MBAUDPayments | AMBITIONS_TP9cGCtc 68.00 3,822.21 CR</t>
  </si>
  <si>
    <t>FLYING HAT SYDNEY AUS</t>
  </si>
  <si>
    <t>Card xx0018 | Value Date 11/11/2025</t>
  </si>
  <si>
    <t>13 Nov FLYING HAT SYDNEY AUS | Card xx0018 | Value Date 11/11/2025 12.13 3,810.08 CR</t>
  </si>
  <si>
    <t>13 Nov MARGOT ESPRESSO SYDNEY NS AUS | Card xx0018 | V06.00.37 | Value Date 11/11/2025 4.08 3,806.00 CR</t>
  </si>
  <si>
    <t>IGA DEE WHY L0347 DEE WHY NS AUS</t>
  </si>
  <si>
    <t>13 Nov IGA DEE WHY L0347 DEE WHY NS AUS | Card xx0018 | Value Date 11/11/2025 3.09 3,802.91 CR | SL.R3.S141.D338.O</t>
  </si>
  <si>
    <t>WOOLWORTHS 1472 DEE WHY NS AUS</t>
  </si>
  <si>
    <t>Card xx0018 | Value Date 11/11/2025 | SQ *THE SNEAKER LAUNDR Sydney AU</t>
  </si>
  <si>
    <t>13 Nov WOOLWORTHS 1472 DEE WHY NS AUS | Card xx0018 | Value Date 11/11/2025 2.20 3,800.71 CR | 0303 13 Nov SQ *THE SNEAKER LAUNDR Sydney AU 14.18 3,786.53 CR</t>
  </si>
  <si>
    <t>Direct Debit 518073 Crunch Fitness -</t>
  </si>
  <si>
    <t>EZYPAYID_81315353</t>
  </si>
  <si>
    <t>Amount mismatch: columns -40.90, balance delta -55.08; used balance</t>
  </si>
  <si>
    <t>13 Nov Direct Debit 518073 Crunch Fitness - | ZZ258R3 EZYPAYID_81315353 40.90 3,745.63 CR</t>
  </si>
  <si>
    <t>ALLIANCE PEST SOLUTION NARWEE</t>
  </si>
  <si>
    <t>Card xx0018 | Value Date 12/11/2025</t>
  </si>
  <si>
    <t>14 Nov ALLIANCE PEST SOLUTION NARWEE AUS | Card xx0018 | Value Date 12/11/2025 198.00 3,547.63 CR | 3162.10486.3.6</t>
  </si>
  <si>
    <t>HOLEY MOLEY AUSTRALIA ABBOTSFORD</t>
  </si>
  <si>
    <t>Card xx0018 | Value Date 13/11/2025</t>
  </si>
  <si>
    <t>14 Nov HOLEY MOLEY AUSTRALIA ABBOTSFORD VI AUS | Card xx0018 | Value Date 13/11/2025 80.58 3,467.05 CR</t>
  </si>
  <si>
    <t>KFC Sydney Central Sydney Centra AU</t>
  </si>
  <si>
    <t>14 Nov KFC Sydney Central Sydney Centra AU AUS | Card xx0018 | Value Date 12/11/2025 8.95 3,458.10 CR</t>
  </si>
  <si>
    <t>14 Nov SQ *SACREBLEU | CANELE dee why AU 8.62 3,449.48 CR</t>
  </si>
  <si>
    <t>LS Supa Fresh Pty Ltd Sydney AU</t>
  </si>
  <si>
    <t>14 Nov LS Supa Fresh Pty Ltd Sydney AU 6.62 3,442.86 CR</t>
  </si>
  <si>
    <t>SQ *SKITTLE LANE Sydney AU</t>
  </si>
  <si>
    <t>14 Nov SQ *SKITTLE LANE Sydney AU 17.74 3,425.12 CR</t>
  </si>
  <si>
    <t>Bar Lucia Potts Point AU</t>
  </si>
  <si>
    <t>14 Nov Bar Lucia Potts Point AU 79.17 3,345.95 CR</t>
  </si>
  <si>
    <t>Card xx0018 | Value Date 13/11/2025 | MARKET ST CAFE SYDNEY NS AUS | Card xx0018 | Value Date 13/11/2025</t>
  </si>
  <si>
    <t>15 Nov MARGOT ESPRESSO SYDNEY NS AUS | Card xx0018 | Value Date 13/11/2025 4.08 3,341.87 CR | 15 Nov 2 MARKET ST CAFE SYDNEY NS AUS | Card xx0018 | Value Date 13/11/2025 4.50 3,337.37 CR</t>
  </si>
  <si>
    <t>SQ *WILBUR'S DELI - BR Brookvale AU</t>
  </si>
  <si>
    <t>Amount mismatch: columns -14.00, balance delta -18.50; used balance</t>
  </si>
  <si>
    <t>15 Nov SQ *WILBUR'S DELI - BR Brookvale AU 14.00 3,323.37 CR</t>
  </si>
  <si>
    <t>Lindt Australia Brookvale AU</t>
  </si>
  <si>
    <t>15 Nov Lindt Australia Brookvale AU 4.80 3,318.57 CR</t>
  </si>
  <si>
    <t>CHA MS PTY LTD Brookvale AU</t>
  </si>
  <si>
    <t>15 Nov CHA MS PTY LTD Brookvale AU 7.01 3,311.56 CR</t>
  </si>
  <si>
    <t>15 Nov COLES 0784 DEE WHY AU 18.70 3,292.86 CR</t>
  </si>
  <si>
    <t>SQ *FRENCH BASKET Dee Why AU</t>
  </si>
  <si>
    <t>16 Nov SQ *FRENCH BASKET Dee Why AU 13.15 3,279.71 CR</t>
  </si>
  <si>
    <t>16 Nov Subway Dee Why 7 Oaks AvenueAU 2.95 3,276.76 CR</t>
  </si>
  <si>
    <t>eak10r10</t>
  </si>
  <si>
    <t>17 Nov Direct Debit 545383 Telstra Services | eak10r10 70.00 3,206.76 CR</t>
  </si>
  <si>
    <t>Card xx6220 | Value Date 16/11/2025</t>
  </si>
  <si>
    <t>18 Nov TRANSPORTFORNSW OPAL CHIPPENDALE AUS | Card xx6220 | Value Date 16/11/2025 60.00 3,146.76 CR</t>
  </si>
  <si>
    <t>Card xx6220 | Value Date 13/11/2025</t>
  </si>
  <si>
    <t>18 Nov DD *DOORDASH OPORTO MELBOURNE VI AUS | Card xx6220 | Value Date 13/11/2025 5.50 3,141.26 CR</t>
  </si>
  <si>
    <t>18 Nov SQ *SKITTLE LANE Sydney AU 17.74 3,123.52 CR</t>
  </si>
  <si>
    <t>Card xx0018 | Value Date 16/11/2025</t>
  </si>
  <si>
    <t>18 Nov TRANSPORTFORNSW TAP SYDNEY AUS | Card xx0018 | Value Date 16/11/2025 6.34 3,117.18 CR</t>
  </si>
  <si>
    <t>HFM MONA VALE QPS MONA VALE AUS</t>
  </si>
  <si>
    <t>18 Nov HFM MONA VALE QPS MONA VALE AUS | Card xx0018 | Value Date 16/11/2025 13.34 3,103.84 CR</t>
  </si>
  <si>
    <t>COTTON ON 2110 WARRINGAH NS AUS</t>
  </si>
  <si>
    <t>Card xx0018 | Value Date 15/11/2025</t>
  </si>
  <si>
    <t>18 Nov COTTON ON 2110 WARRINGAH NS AUS | Card xx0018 | Value Date 15/11/2025 32.00 3,071.84 CR | V06.00.37</t>
  </si>
  <si>
    <t>The Vicars Daughters Collaroy AU AUS</t>
  </si>
  <si>
    <t>18 Nov The Vicars Daughters Collaroy AU AUS | Card xx0018 | Value Date 16/11/2025 7.62 3,064.22 CR</t>
  </si>
  <si>
    <t>FLANNERYS MONA VALE Mona Vale AU</t>
  </si>
  <si>
    <t>18 Nov FLANNERYS MONA VALE Mona Vale AU AUS | SL.R3.S141.D338.O | Card xx0018 | Value Date 16/11/2025 19.57 3,044.65 CR</t>
  </si>
  <si>
    <t>Card xx0018 | Value Date 16/11/2025 | TRANSPORTFORNSW TAP SYDNEY AUS | Card xx0018 | Value Date 15/11/2025</t>
  </si>
  <si>
    <t>18 Nov WOOLWORTHS 1472 DEE WHY NS AUS | 0303 Card xx0018 | Value Date 16/11/2025 15.50 3,029.15 CR | ZZ258R3 18 Nov TRANSPORTFORNSW TAP SYDNEY AUS | Card xx0018 | Value Date 15/11/2025 4.03 3,025.12 CR</t>
  </si>
  <si>
    <t>JOHNNYGIOSPIZ* DEE WHY MARSDEN</t>
  </si>
  <si>
    <t>Amount mismatch: columns -12.51, balance delta -16.54; used balance</t>
  </si>
  <si>
    <t>18 Nov JOHNNYGIOSPIZ* DEE WHY MARSDEN PARK NS A | 3162.10486.3.6 | Card xx0018 | Value Date 15/11/2025 12.51 3,012.61 CR</t>
  </si>
  <si>
    <t>TIYEB STORE PTY LTD SYDNEY NS AUS</t>
  </si>
  <si>
    <t>Card xx0018 | Value Date 14/11/2025</t>
  </si>
  <si>
    <t>18 Nov TIYEB STORE PTY LTD SYDNEY NS AUS | Card xx0018 | Value Date 14/11/2025 5.04 3,007.57 CR</t>
  </si>
  <si>
    <t>SUSHI HUB QVB SYDNEY NS AUS</t>
  </si>
  <si>
    <t>18 Nov SUSHI HUB QVB SYDNEY NS AUS | Card xx0018 | Value Date 13/11/2025 9.00 2,998.57 CR</t>
  </si>
  <si>
    <t>18 Nov B5 Cafe Narraweena NS AUS | Card xx0018 | Value Date 15/11/2025 18.66 2,979.91 CR</t>
  </si>
  <si>
    <t>Guzman Y Gomez Surry Hills AU AUS</t>
  </si>
  <si>
    <t>18 Nov Guzman Y Gomez Surry Hills AU AUS | Card xx0018 | Value Date 14/11/2025 11.80 2,968.11 CR</t>
  </si>
  <si>
    <t>Northen Beaches Denta DEE WHY AUS</t>
  </si>
  <si>
    <t>18 Nov Northen Beaches Denta DEE WHY AUS | Card xx0018 | Value Date 14/11/2025 11.77 2,956.34 CR</t>
  </si>
  <si>
    <t>18 Nov Subway Kent 24 Market StrAU 6.00 2,950.34 CR</t>
  </si>
  <si>
    <t>18 Nov SMP*Hero Sushi Dee Why Dee Why02 AU 5.05 2,945.29 CR</t>
  </si>
  <si>
    <t>Fast Transfer From AMAZON COMMERCIAL</t>
  </si>
  <si>
    <t>Salary NOVEMBER 2025 | PDY003326296642</t>
  </si>
  <si>
    <t>19 Nov Fast Transfer From AMAZON COMMERCIAL SER | Salary NOVEMBER 2025 | PDY003326296642 0.01 2,945.30 CR</t>
  </si>
  <si>
    <t>Card xx0018 | Value Date 17/11/2025</t>
  </si>
  <si>
    <t>19 Nov TRANSPORTFORNSW TAP SYDNEY AUS | Card xx0018 | Value Date 17/11/2025 8.06 2,937.24 CR</t>
  </si>
  <si>
    <t>SUSHI N PLUS PTY LTD SYDNEY AUS</t>
  </si>
  <si>
    <t>19 Nov SUSHI N PLUS PTY LTD SYDNEY AUS | Card xx0018 | Value Date 17/11/2025 8.10 2,929.14 CR</t>
  </si>
  <si>
    <t>19 Nov MARGOT ESPRESSO SYDNEY NS AUS | =àXOÌ4) | Card xx0018 | Value Date 17/11/2025 4.08 2,925.06 CR</t>
  </si>
  <si>
    <t>19 Nov SQ *SACREBLEU | CANELE dee why AU 9.44 2,915.62 CR</t>
  </si>
  <si>
    <t>SQ *T TOTALER Sydney AU</t>
  </si>
  <si>
    <t>19 Nov SQ *T TOTALER Sydney AU 9.65 2,905.97 CR</t>
  </si>
  <si>
    <t>19 Nov Subway Dee Why 7 Oaks AvenueAU 2.95 2,903.02 CR</t>
  </si>
  <si>
    <t>AMBITIONS_TRmCbip5</t>
  </si>
  <si>
    <t>19 Nov Direct Debit 507156 MBAUDPayments | AMBITIONS_TRmCbip5 68.00 2,835.02 CR</t>
  </si>
  <si>
    <t>20 Nov DEFT REAL ESTATE NetBank BPAY 4481 | 0053436473 Rent may 9 to 23 1,700.00 1,135.02 CR</t>
  </si>
  <si>
    <t>20 Nov SQ *Y'NO DY Dee Why AU 4.50 1,130.52 CR</t>
  </si>
  <si>
    <t>Card xx0018 | Value Date 19/11/2025</t>
  </si>
  <si>
    <t>21 Nov TIYEB STORE PTY LTD SYDNEY NS AUS | Card xx0018 | V06.00.37 | Value Date 19/11/2025 5.04 1,125.48 CR</t>
  </si>
  <si>
    <t>THE J ROOM HAIR DEE WHY AU</t>
  </si>
  <si>
    <t>21 Nov THE J ROOM HAIR DEE WHY AU 115.00 1,010.48 CR</t>
  </si>
  <si>
    <t>KANO ZEPHYR PTY LIMITEDKADEE WHY</t>
  </si>
  <si>
    <t>FLYING HAT SYDNEY AUS | Card xx0018 | Value Date 20/11/2025</t>
  </si>
  <si>
    <t>21 Nov KANO ZEPHYR PTY LIMITEDKADEE WHY AU 24.00 986.48 CR | SL.R3.S141.D338.O 22 Nov FLYING HAT SYDNEY AUS | Card xx0018 | Value Date 20/11/2025 12.13 974.35 CR</t>
  </si>
  <si>
    <t>Card xx0018 | Value Date 20/11/2025</t>
  </si>
  <si>
    <t>Amount mismatch: columns -8.00, balance delta -20.13; used balance</t>
  </si>
  <si>
    <t>22 Nov GARDENIA ESPRESSO SYDNEY NS AUS | 0303 Card xx0018 | Value Date 20/11/2025 8.00 966.35 CR | ZZ258R3</t>
  </si>
  <si>
    <t>Grilld Pty Ltd Richmond AU AUS</t>
  </si>
  <si>
    <t>Card xx0018 | Value Date 20/11/2025 | BRISTOL ARMS HOTEL SYDNEY NS AUS | Card xx0018 | Value Date 20/11/2025</t>
  </si>
  <si>
    <t>22 Nov Grilld Pty Ltd Richmond AU AUS | Card xx0018 | Value Date 20/11/2025 16.80 949.55 CR | 3162.10487.4.6 22 Nov BRISTOL ARMS HOTEL SYDNEY NS AUS | Card xx0018 | Value Date 20/11/2025 18.18 931.37 CR</t>
  </si>
  <si>
    <t>BRISTOL ARMS HOTEL SYDNEY NS AUS</t>
  </si>
  <si>
    <t>Amount mismatch: columns -12.12, balance delta -30.30; used balance</t>
  </si>
  <si>
    <t>22 Nov BRISTOL ARMS HOTEL SYDNEY NS AUS | Card xx0018 | Value Date 20/11/2025 12.12 919.25 CR</t>
  </si>
  <si>
    <t>22 Nov SQ *Y'NO DY Dee Why AU 4.50 914.75 CR</t>
  </si>
  <si>
    <t>Silvios Cafe &amp; Cucina Wheeler HeighAU</t>
  </si>
  <si>
    <t>22 Nov Silvios Cafe &amp; Cucina Wheeler HeighAU 27.90 886.85 CR</t>
  </si>
  <si>
    <t>22 Nov Silvios Cafe &amp; Cucina Wheeler HeighAU 4.00 882.85 CR</t>
  </si>
  <si>
    <t>SQ *ALL PURPOSE BAKERY Sydney AU</t>
  </si>
  <si>
    <t>24 Nov SQ *ALL PURPOSE BAKERY Sydney AU 9.60 873.25 CR</t>
  </si>
  <si>
    <t>SQ *EAT ISTANBUL WESTF SYDNEY AU</t>
  </si>
  <si>
    <t>24 Nov SQ *EAT ISTANBUL WESTF SYDNEY AU 16.21 857.04 CR</t>
  </si>
  <si>
    <t>24 Nov Subway Dee Why 7 Oaks AvenueAU 8.00 849.04 CR</t>
  </si>
  <si>
    <t>Transfer To Anushri Kohli</t>
  </si>
  <si>
    <t>CommBank App Advent calendar</t>
  </si>
  <si>
    <t>25 Nov Transfer To Anushri Kohli | CommBank App Advent calendar 30.00 819.04 CR</t>
  </si>
  <si>
    <t>Card xx0018 | Value Date 23/11/2025</t>
  </si>
  <si>
    <t>25 Nov TRANSPORTFORNSW TAP SYDNEY AUS | Card xx0018 | Value Date 23/11/2025 2.31 816.73 CR</t>
  </si>
  <si>
    <t>25 Nov Guzman Y Gomez Surry Hills AU AUS | Card xx0018 | Value Date 23/11/2025 11.80 804.93 CR</t>
  </si>
  <si>
    <t>25 Nov B5 Cafe Narraweena NS AUS | Card xx0018 | Value Date 23/11/2025 20.19 784.74 CR</t>
  </si>
  <si>
    <t>Card xx0018 | Value Date 22/11/2025</t>
  </si>
  <si>
    <t>25 Nov COLES 0784 DEE WHY 02 AUS | Card xx0018 | Value Date 22/11/2025 9.00 775.74 CR</t>
  </si>
  <si>
    <t>25 Nov COLES 0784 DEE WHY 02 AUS | Card xx0018 | Value Date 22/11/2025 10.50 765.24 CR</t>
  </si>
  <si>
    <t>25 Nov UBER *EATS HELP.UBER.C Sydney AU AUS | Card xx0018 | Value Date 22/11/2025 24.00 741.24 CR</t>
  </si>
  <si>
    <t>PARADISE BLUE FRUIT AN FRESHWATER</t>
  </si>
  <si>
    <t>25 Nov PARADISE BLUE FRUIT AN FRESHWATER AU AUS | Card xx0018 | Value Date 22/11/2025 8.03 733.21 CR</t>
  </si>
  <si>
    <t>BILLY BUTTON ESPRESSO Dee Why NS</t>
  </si>
  <si>
    <t>Card xx0018 | Value Date 21/11/2025</t>
  </si>
  <si>
    <t>25 Nov BILLY BUTTON ESPRESSO Dee Why NS AUS | Card xx0018 | Value Date 21/11/2025 19.73 713.48 CR</t>
  </si>
  <si>
    <t>25 Nov PARADISE BLUE FRUIT AN FRESHWATER AU AUS | Card xx0018 | V06.00.37 | Value Date 21/11/2025 8.03 705.45 CR</t>
  </si>
  <si>
    <t>SQ *KAHII Sydney AU</t>
  </si>
  <si>
    <t>25 Nov SQ *KAHII Sydney AU 9.14 696.31 CR</t>
  </si>
  <si>
    <t>TRANSPORTFORNSW OPAL CHIPPENDALE | Card xx6220 | Value Date 24/11/2025</t>
  </si>
  <si>
    <t>25 Nov Subway Kent 24 Market StrAU 6.00 690.31 CR | SL.R3.S141.D338.O 26 Nov TRANSPORTFORNSW OPAL CHIPPENDALE AUS | Card xx6220 | Value Date 24/11/2025 60.00 630.31 CR</t>
  </si>
  <si>
    <t>Card xx0018 | Value Date 24/11/2025</t>
  </si>
  <si>
    <t>Amount mismatch: columns -6.07, balance delta -66.07; used balance</t>
  </si>
  <si>
    <t>26 Nov FLYING HAT SYDNEY AUS | 0303 | Card xx0018 | Value Date 24/11/2025 6.07 624.24 CR | ZZ258R3</t>
  </si>
  <si>
    <t>Card xx0018 | Value Date 24/11/2025 | DULA GROUP PTY LTD DEE WHY NS | Card xx0018 | Value Date 23/11/2025</t>
  </si>
  <si>
    <t>26 Nov MARGOT ESPRESSO SYDNEY NS AUS | Card xx0018 | Value Date 24/11/2025 4.08 620.16 CR | 3162.10487.4.6 26 Nov DULA GROUP PTY LTD DEE WHY NS AUS | Card xx0018 | Value Date 23/11/2025 8.67 611.49 CR</t>
  </si>
  <si>
    <t>Amount mismatch: columns -9.50, balance delta -18.17; used balance</t>
  </si>
  <si>
    <t>26 Nov COLES 0784 DEE WHY 02 AUS | Card xx0018 | Value Date 23/11/2025 9.50 601.99 CR</t>
  </si>
  <si>
    <t>SQ *CHINATOWN COUNTRY Sydney AU</t>
  </si>
  <si>
    <t>26 Nov SQ *CHINATOWN COUNTRY Sydney AU 9.00 592.99 CR</t>
  </si>
  <si>
    <t>Cross Eatry Sydney AU</t>
  </si>
  <si>
    <t>26 Nov Cross Eatry Sydney AU 8.00 584.99 CR</t>
  </si>
  <si>
    <t>26 Nov SMP*Hero Sushi Dee Why Dee Why02 AU 5.05 579.94 CR</t>
  </si>
  <si>
    <t>AMBITIONS_TUPm6sTt</t>
  </si>
  <si>
    <t>26 Nov Direct Debit 507156 MBAUDPayments | AMBITIONS_TUPm6sTt 68.00 511.94 CR</t>
  </si>
  <si>
    <t>Card xx0018 | Value Date 25/11/2025</t>
  </si>
  <si>
    <t>27 Nov FLYING HAT SYDNEY AUS | Card xx0018 | Value Date 25/11/2025 8.09 503.85 CR</t>
  </si>
  <si>
    <t>27 Nov MARGOT ESPRESSO SYDNEY NS AUS | Card xx0018 | Value Date 25/11/2025 4.08 499.77 CR</t>
  </si>
  <si>
    <t>27 Nov Grilld Pty Ltd Richmond AU AUS | Card xx0018 | Value Date 25/11/2025 16.80 482.97 CR</t>
  </si>
  <si>
    <t>27 Nov SQ *CHINATOWN COUNTRY Sydney AU 9.00 473.97 CR</t>
  </si>
  <si>
    <t>Direct Credit 158824 AMAZON COMML</t>
  </si>
  <si>
    <t>PDY003362176392</t>
  </si>
  <si>
    <t>27 Nov Direct Credit 158824 AMAZON COMML SEV | PDY003362176392 8,291.61 8,765.58 CR</t>
  </si>
  <si>
    <t>27 Nov SQ *CHINATOWN COUNTRY Sydney AU 8.00 8,757.58 CR</t>
  </si>
  <si>
    <t>MUJI RETAIL AUSTRAL SYDNEY AU</t>
  </si>
  <si>
    <t>27 Nov MUJI RETAIL AUSTRAL SYDNEY AU 59.85 8,697.73 CR</t>
  </si>
  <si>
    <t>EZYPAYID_82280598</t>
  </si>
  <si>
    <t>27 Nov Direct Debit 518073 Crunch Fitness - | EZYPAYID_82280598 40.90 8,656.83 CR</t>
  </si>
  <si>
    <t>Direct Credit 158824 AMAZON COMMERCIA</t>
  </si>
  <si>
    <t>FCS003363721372</t>
  </si>
  <si>
    <t>27 Nov Direct Credit 158824 AMAZON COMMERCIA | FCS003363721372 600.98 9,257.81 CR | =àXOÌ5)</t>
  </si>
  <si>
    <t>IMT 1200002130485 Emily Paula Klobuchar</t>
  </si>
  <si>
    <t>REF K035401821052 | USD 801.34000 Rate 0.6285</t>
  </si>
  <si>
    <t>27 Nov IMT 1200002130485 Emily Paula Klobuchar | REF K035401821052 | USD 801.34000 Rate 0.6285 1,275.00 7,982.81 CR</t>
  </si>
  <si>
    <t>Espresso on Kent Sydney NS AUS</t>
  </si>
  <si>
    <t>Card xx0018 | Value Date 26/11/2025</t>
  </si>
  <si>
    <t>28 Nov Espresso on Kent Sydney NS AUS | Card xx0018 | Value Date 26/11/2025 8.00 7,974.81 CR</t>
  </si>
  <si>
    <t>28 Nov SQ *SKITTLE LANE Sydney AU 15.72 7,959.09 CR</t>
  </si>
  <si>
    <t>SQ *BANDS OF COURAGE Ultimo AU</t>
  </si>
  <si>
    <t>28 Nov SQ *BANDS OF COURAGE Ultimo AU 35.00 7,924.09 CR</t>
  </si>
  <si>
    <t>The Baxter Inn Sydney AU</t>
  </si>
  <si>
    <t>28 Nov The Baxter Inn Sydney AU 36.63 7,887.46 CR</t>
  </si>
  <si>
    <t>Bar Topa Ivy Sydney AU</t>
  </si>
  <si>
    <t>28 Nov Bar Topa Ivy Sydney AU 90.95 7,796.51 CR</t>
  </si>
  <si>
    <t>DD *DOORDASH FRANGOCHA MELBOURNE</t>
  </si>
  <si>
    <t>Card xx6220 | Value Date 27/11/2025</t>
  </si>
  <si>
    <t>29 Nov DD *DOORDASH FRANGOCHA MELBOURNE VI AUS | Card xx6220 | V06.00.37 | Value Date 27/11/2025 342.40 7,454.11 CR</t>
  </si>
  <si>
    <t>BODY SYDNEY 2442 SYDNEY NS AUS</t>
  </si>
  <si>
    <t>Card xx0018 | Value Date 27/11/2025</t>
  </si>
  <si>
    <t>29 Nov BODY SYDNEY 2442 SYDNEY NS AUS | Card xx0018 | Value Date 27/11/2025 47.49 7,406.62 CR | SL.R3.S141.D338.O</t>
  </si>
  <si>
    <t>Joji Sydney AU AUS</t>
  </si>
  <si>
    <t>Card xx0018 | Value Date 27/11/2025 | Hide Out Dee Why AU</t>
  </si>
  <si>
    <t>29 Nov Joji Sydney AU AUS | Card xx0018 | Value Date 27/11/2025 138.75 7,267.87 CR | 0303 29 Nov Hide Out Dee Why AU 4.60 7,263.27 CR</t>
  </si>
  <si>
    <t>H&amp;M HENNES &amp; MAURITZ Brookvale AU</t>
  </si>
  <si>
    <t>Amount mismatch: columns -24.99, balance delta -29.59; used balance</t>
  </si>
  <si>
    <t>29 Nov H&amp;M HENNES &amp; MAURITZ Brookvale AU 24.99 7,238.28 CR | ZZ258R3</t>
  </si>
  <si>
    <t>LS WARRINGAH North Rocks AU</t>
  </si>
  <si>
    <t>29 Nov LS WARRINGAH North Rocks AU 11.99 7,226.29 CR</t>
  </si>
  <si>
    <t>29 Nov SQ *SACREBLEU | CANELE dee why AU 17.76 7,208.53 CR</t>
  </si>
  <si>
    <t>Corretto Dee Why Dee Why AU</t>
  </si>
  <si>
    <t>30 Nov Corretto Dee Why Dee Why AU 5.04 7,203.49 CR | 3162.10488.5.6</t>
  </si>
  <si>
    <t>2025-12</t>
  </si>
  <si>
    <t>01 Dec SQ *SKITTLE LANE Sydney AU 5.58 7,197.91 CR</t>
  </si>
  <si>
    <t>Fast Transfer From MISS ANUSHRI LISBON</t>
  </si>
  <si>
    <t>Apple juice</t>
  </si>
  <si>
    <t>01 Dec Fast Transfer From MISS ANUSHRI LISBON K | Apple juice 10.00 7,207.91 CR</t>
  </si>
  <si>
    <t>01 Dec Subway Dee Why 7 Oaks AvenueAU 8.00 7,199.91 CR</t>
  </si>
  <si>
    <t>01 Dec Direct Debit 012495 GU HEALTH D/DBT | 29497443 65.76 7,134.15 CR</t>
  </si>
  <si>
    <t>02 Dec SQ *CHINATOWN COUNTRY Sydney AU 9.00 7,125.15 CR</t>
  </si>
  <si>
    <t>BETTS WARRINGAH BROOKVALE AUS</t>
  </si>
  <si>
    <t>Card xx0018 | Value Date 29/11/2025</t>
  </si>
  <si>
    <t>02 Dec BETTS WARRINGAH BROOKVALE AUS | Card xx0018 | Value Date 29/11/2025 56.99 7,068.16 CR</t>
  </si>
  <si>
    <t>02 Dec COLES 0784 DEE WHY 02 AUS | Card xx0018 | Value Date 29/11/2025 55.19 7,012.97 CR</t>
  </si>
  <si>
    <t>Card xx0018 | Value Date 30/11/2025</t>
  </si>
  <si>
    <t>02 Dec Grilld Pty Ltd Richmond AU AUS | Card xx0018 | Value Date 30/11/2025 16.80 6,996.17 CR</t>
  </si>
  <si>
    <t>02 Dec IGA DEE WHY L0347 DEE WHY NS AUS | Card xx0018 | Value Date 30/11/2025 4.49 6,991.68 CR</t>
  </si>
  <si>
    <t>AMPOL BROOKVALE 22683F BROOKVALE</t>
  </si>
  <si>
    <t>Card xx0018 | Value Date 29/11/2025 | RETAIL GROUP PTY LTD WARRINGAH | Card xx0018 | Value Date 29/11/2025</t>
  </si>
  <si>
    <t>02 Dec AMPOL BROOKVALE 22683F BROOKVALE AUS | Card xx0018 | Value Date 29/11/2025 6.50 6,985.18 CR | 02 Dec W RETAIL GROUP PTY LTD WARRINGAH AUS | Card xx0018 | Value Date 29/11/2025 38.24 6,946.94 CR</t>
  </si>
  <si>
    <t>ST VIN DE PAUL SOC NSW BROOKVALE</t>
  </si>
  <si>
    <t>Amount mismatch: columns -3.00, balance delta -41.24; used balance</t>
  </si>
  <si>
    <t>02 Dec ST VIN DE PAUL SOC NSW BROOKVALE AUS | Card xx0018 | Value Date 29/11/2025 3.00 6,943.94 CR</t>
  </si>
  <si>
    <t>TELLO MOBILE ATLANTA GA USA</t>
  </si>
  <si>
    <t>Card xx0018 USD 11.78 | Value Date 29/11/2025</t>
  </si>
  <si>
    <t>02 Dec TELLO MOBILE ATLANTA GA USA | Card xx0018 USD 11.78 | Value Date 29/11/2025 18.10 6,925.84 CR</t>
  </si>
  <si>
    <t>Value Date 28/11/2025</t>
  </si>
  <si>
    <t>02 Dec International Transaction Fee | Value Date 28/11/2025 0.63 6,925.21 CR</t>
  </si>
  <si>
    <t>02 Dec WOOLWORTHS 1472 DEE WHY NS AUS | Card xx0018 | Value Date 29/11/2025 3.00 6,922.21 CR</t>
  </si>
  <si>
    <t>Card xx0018 | Value Date 28/11/2025</t>
  </si>
  <si>
    <t>02 Dec TRANSPORTFORNSW TAP SYDNEY AUS | Card xx0018 | Value Date 28/11/2025 5.77 6,916.44 CR</t>
  </si>
  <si>
    <t>BEESWAX WRAPS AUSTRALI OBERON</t>
  </si>
  <si>
    <t>02 Dec BEESWAX WRAPS AUSTRALI OBERON AUS | Card xx0018 | Value Date 28/11/2025 25.00 6,891.44 CR | V06.00.37</t>
  </si>
  <si>
    <t>Kamakura Wara Sydney NS AUS</t>
  </si>
  <si>
    <t>02 Dec Kamakura Wara Sydney NS AUS | Card xx0018 | Value Date 28/11/2025 8.92 6,882.52 CR</t>
  </si>
  <si>
    <t>SQ *PREFECTURE 48 Sydney AU</t>
  </si>
  <si>
    <t>02 Dec SQ *PREFECTURE 48 Sydney AU 19.28 6,863.24 CR | SL.R3.S141.D338.O</t>
  </si>
  <si>
    <t>Card xx0018 | Value Date 01/12/2025</t>
  </si>
  <si>
    <t>03 Dec MARGOT ESPRESSO SYDNEY NS AUS | Card xx0018 | Value Date 01/12/2025 4.08 6,859.16 CR | 0303</t>
  </si>
  <si>
    <t>VIET VIBE BROOKVALE AUS</t>
  </si>
  <si>
    <t>03 Dec VIET VIBE BROOKVALE AUS | Card xx0018 | ZZ258R3 Value Date 29/11/2025 12.18 6,846.98 CR</t>
  </si>
  <si>
    <t>KUDOBOARD DENVER CO USA</t>
  </si>
  <si>
    <t>Card xx0018 AUD 15.72 | Value Date 01/12/2025</t>
  </si>
  <si>
    <t>03 Dec KUDOBOARD DENVER CO USA | Card xx0018 AUD 15.72 | Value Date 01/12/2025 15.72 6,831.26 CR | 3162.10488.5.6</t>
  </si>
  <si>
    <t>03 Dec SQ *CHINATOWN COUNTRY Sydney AU 5.00 6,826.26 CR</t>
  </si>
  <si>
    <t>03 Dec SMP*Hero Sushi Dee Why Dee Why02 AU 5.05 6,821.21 CR</t>
  </si>
  <si>
    <t>AMBITIONS_TX1MzxAi</t>
  </si>
  <si>
    <t>03 Dec Direct Debit 507156 MBAUDPayments | AMBITIONS_TX1MzxAi 68.00 6,753.21 CR</t>
  </si>
  <si>
    <t>04 Dec DEFT REAL ESTATE NetBank BPAY 4481 | 0053436473 Rent may 9 to 23 1,700.00 5,053.21 CR</t>
  </si>
  <si>
    <t>North Sandwich&amp;Burger Chippendale NS</t>
  </si>
  <si>
    <t>Card xx0018 | Value Date 02/12/2025</t>
  </si>
  <si>
    <t>04 Dec North Sandwich&amp;Burger Chippendale NS AUS | Card xx0018 | Value Date 02/12/2025 18.83 5,034.38 CR</t>
  </si>
  <si>
    <t>Recurring Direct Credit (AUD)</t>
  </si>
  <si>
    <t>Refunds / Other Income (AUD)</t>
  </si>
  <si>
    <t>Transfer In (AUD)</t>
  </si>
  <si>
    <t>Spending excl. Transfer Out (AUD)</t>
  </si>
  <si>
    <t>Transfer Out (AUD)</t>
  </si>
  <si>
    <t>Net Cash Flow (AUD)</t>
  </si>
  <si>
    <t>Suggested Monthly Budget</t>
  </si>
  <si>
    <t>Recurring-income baseline</t>
  </si>
  <si>
    <t>Average</t>
  </si>
  <si>
    <t>Suggested Cap</t>
  </si>
  <si>
    <t>Cap vs Avg</t>
  </si>
  <si>
    <t>Comment</t>
  </si>
  <si>
    <t>Fortnightly $1,700 normalized to 26 payments / 12 months.</t>
  </si>
  <si>
    <t>Baseline allowance for supermarket / grocery spending.</t>
  </si>
  <si>
    <t>A controllable category; target is below the observed run-rate.</t>
  </si>
  <si>
    <t>Smooths irregular billing months.</t>
  </si>
  <si>
    <t>Allows for Opal/Uber/fuel/taxis.</t>
  </si>
  <si>
    <t>Approximately current recurring run-rate.</t>
  </si>
  <si>
    <t>Buffer for pharmacy/medical variability.</t>
  </si>
  <si>
    <t>Main discretionary reduction target.</t>
  </si>
  <si>
    <t>Use as a monthly cap / sinking fund.</t>
  </si>
  <si>
    <t>Sinking fund for irregular household purchases.</t>
  </si>
  <si>
    <t>Monthly leisure allowance.</t>
  </si>
  <si>
    <t>Recurring subscriptions/donations.</t>
  </si>
  <si>
    <t>Aim to minimize international/ATM fees.</t>
  </si>
  <si>
    <t>Small sinking fund for irregular admin charges.</t>
  </si>
  <si>
    <t>Sinking fund; travel months can be much higher.</t>
  </si>
  <si>
    <t>Prefer recategorizing cash once you know what it paid for.</t>
  </si>
  <si>
    <t>Buffer for merchants not yet confidently categorized.</t>
  </si>
  <si>
    <t>TOTAL MONTHLY SPEND</t>
  </si>
  <si>
    <t>Budget outcome</t>
  </si>
  <si>
    <t>Income baseline</t>
  </si>
  <si>
    <t>Suggested monthly spend</t>
  </si>
  <si>
    <t>Implied monthly savings</t>
  </si>
  <si>
    <t>Savings rate</t>
  </si>
  <si>
    <t>Amount</t>
  </si>
  <si>
    <t>Page</t>
  </si>
  <si>
    <t>Why shown</t>
  </si>
  <si>
    <t>Uncategorized merchant</t>
  </si>
  <si>
    <t>Parser reconstruction / mismatch</t>
  </si>
  <si>
    <t>Uncategorized merchant; Parser reconstruction / mismatch</t>
  </si>
  <si>
    <t>Parsing &amp; budgeting assumptions</t>
  </si>
  <si>
    <t>Source</t>
  </si>
  <si>
    <t>Statement.pdf</t>
  </si>
  <si>
    <t>Parser</t>
  </si>
  <si>
    <t>PyMuPDF text + coordinate columns; no OCR / no network</t>
  </si>
  <si>
    <t>Statement period</t>
  </si>
  <si>
    <t>2025-11-01 to 2025-12-04</t>
  </si>
  <si>
    <t>Complete budget months</t>
  </si>
  <si>
    <t>Opening balance</t>
  </si>
  <si>
    <t>Closing balance</t>
  </si>
  <si>
    <t>Transactions</t>
  </si>
  <si>
    <t>Reconstructed / mismatched rows</t>
  </si>
  <si>
    <t>Reconciliation</t>
  </si>
  <si>
    <t>Every amount is checked against the running balance.</t>
  </si>
  <si>
    <t>Failure mode</t>
  </si>
  <si>
    <t>Workbook is not written if the statement does not reconcile.</t>
  </si>
  <si>
    <t>Direct Credit / salary / wages are recurring income unless identified as refunds.</t>
  </si>
  <si>
    <t>Transfers</t>
  </si>
  <si>
    <t>Transfers and cash deposits are kept separate from recurring income.</t>
  </si>
  <si>
    <t>Categories</t>
  </si>
  <si>
    <t>Merchant categories are heuristic and editable in Transactions column D.</t>
  </si>
  <si>
    <t>Permanent rules</t>
  </si>
  <si>
    <t>Edit CATEGORY_RULES near the top of this script.</t>
  </si>
  <si>
    <t>Budget</t>
  </si>
  <si>
    <t>Suggested caps are editable near the top of this script.</t>
  </si>
  <si>
    <t>Partial months</t>
  </si>
  <si>
    <t>Only complete calendar months are used when the statement period allows it.</t>
  </si>
  <si>
    <t>Personal Budget Dashboard</t>
  </si>
  <si>
    <t>Period</t>
  </si>
  <si>
    <t>Rows needing parser reconstruction</t>
  </si>
  <si>
    <t>Recurring income baseline</t>
  </si>
  <si>
    <t>Suggested monthly budget</t>
  </si>
  <si>
    <t>Implied savings rate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</si>
</sst>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$#,##0.00;[Red]($#,##0.00);-"/>
    <numFmt numFmtId="166" formatCode="0.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44A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EAF1F6"/>
        <bgColor indexed="64"/>
      </patternFill>
    </fill>
    <fill>
      <patternFill patternType="solid">
        <fgColor rgb="FFFCE8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0" fillId="3" borderId="0" xfId="0" applyFill="1" applyAlignment="1">
      <alignment wrapText="1"/>
    </xf>
    <xf numFmtId="0" fontId="2" fillId="4" borderId="0" xfId="0" applyFont="1" applyFill="1"/>
    <xf numFmtId="0" fontId="3" fillId="5" borderId="0" xfId="0" applyFont="1" applyFill="1"/>
    <xf numFmtId="165" fontId="0" fillId="5" borderId="0" xfId="0" applyNumberFormat="1" applyFill="1"/>
    <xf numFmtId="165" fontId="3" fillId="5" borderId="0" xfId="0" applyNumberFormat="1" applyFont="1" applyFill="1"/>
    <xf numFmtId="0" fontId="1" fillId="2" borderId="0" xfId="0" applyFont="1" applyFill="1"/>
    <xf numFmtId="166" fontId="0" fillId="0" borderId="0" xfId="0" applyNumberFormat="1"/>
    <xf numFmtId="0" fontId="0" fillId="6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recurring income vs spending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Recurring Income</c:v>
          </c:tx>
          <c:cat>
            <c:strRef>
              <c:f>'Monthly Summary'!$A$2:$A$3</c:f>
              <c:strCache>
                <c:ptCount val="2"/>
                <c:pt idx="0">
                  <c:v>2025-11</c:v>
                </c:pt>
                <c:pt idx="1">
                  <c:v>2025-12</c:v>
                </c:pt>
              </c:strCache>
            </c:strRef>
          </c:cat>
          <c:val>
            <c:numRef>
              <c:f>'Monthly Summary'!$B$2:$B$3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Spending</c:v>
          </c:tx>
          <c:cat>
            <c:strRef>
              <c:f>'Monthly Summary'!$A$2:$A$3</c:f>
              <c:strCache>
                <c:ptCount val="2"/>
                <c:pt idx="0">
                  <c:v>2025-11</c:v>
                </c:pt>
                <c:pt idx="1">
                  <c:v>2025-12</c:v>
                </c:pt>
              </c:strCache>
            </c:strRef>
          </c:cat>
          <c:val>
            <c:numRef>
              <c:f>'Monthly Summary'!$E$2:$E$3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409575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ransactionsTable" displayName="TransactionsTable" ref="A1:L201" totalsRowShown="0">
  <autoFilter ref="A1:L201"/>
  <tableColumns count="12">
    <tableColumn id="1" name="Date"/>
    <tableColumn id="2" name="Description"/>
    <tableColumn id="3" name="Details"/>
    <tableColumn id="4" name="Category"/>
    <tableColumn id="5" name="Amount (AUD)"/>
    <tableColumn id="6" name="Debit (AUD)"/>
    <tableColumn id="7" name="Credit (AUD)"/>
    <tableColumn id="8" name="Statement Balance (AUD)"/>
    <tableColumn id="9" name="Month"/>
    <tableColumn id="10" name="Parse Status"/>
    <tableColumn id="11" name="Source Page"/>
    <tableColumn id="12" name="Raw PDF tex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36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2.7109375" customWidth="1"/>
    <col min="3" max="3" width="34.7109375" customWidth="1"/>
    <col min="4" max="4" width="30.7109375" customWidth="1"/>
    <col min="5" max="8" width="18.7109375" customWidth="1"/>
    <col min="9" max="9" width="11.7109375" customWidth="1"/>
    <col min="10" max="10" width="42.7109375" customWidth="1"/>
    <col min="11" max="11" width="11.7109375" customWidth="1"/>
    <col min="12" max="12" width="55.7109375" customWidth="1"/>
  </cols>
  <sheetData>
    <row r="1" spans="1:12">
      <c r="A1" t="s">
        <v>23</v>
      </c>
      <c r="B1" t="s">
        <v>24</v>
      </c>
      <c r="C1" t="s">
        <v>25</v>
      </c>
      <c r="D1" t="s">
        <v>0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>
      <c r="A2" s="2">
        <v>45962</v>
      </c>
      <c r="B2" t="s">
        <v>34</v>
      </c>
      <c r="C2" s="3" t="s">
        <v>35</v>
      </c>
      <c r="D2" t="s">
        <v>17</v>
      </c>
      <c r="E2" s="4">
        <v>-35.16</v>
      </c>
      <c r="F2" s="4">
        <v>35.16</v>
      </c>
      <c r="G2" s="4">
        <v>0</v>
      </c>
      <c r="H2" s="4">
        <v>7624.16</v>
      </c>
      <c r="I2" t="s">
        <v>36</v>
      </c>
      <c r="J2" t="s">
        <v>37</v>
      </c>
      <c r="K2">
        <v>1</v>
      </c>
      <c r="L2" s="3" t="s">
        <v>38</v>
      </c>
    </row>
    <row r="3" spans="1:12">
      <c r="A3" s="2">
        <v>45962</v>
      </c>
      <c r="B3" t="s">
        <v>39</v>
      </c>
      <c r="C3" s="3" t="s">
        <v>40</v>
      </c>
      <c r="D3" t="s">
        <v>13</v>
      </c>
      <c r="E3" s="4">
        <v>-1.23</v>
      </c>
      <c r="F3" s="4">
        <v>1.23</v>
      </c>
      <c r="G3" s="4">
        <v>0</v>
      </c>
      <c r="H3" s="4">
        <v>7622.93</v>
      </c>
      <c r="I3" t="s">
        <v>36</v>
      </c>
      <c r="J3" t="s">
        <v>37</v>
      </c>
      <c r="K3">
        <v>1</v>
      </c>
      <c r="L3" s="3" t="s">
        <v>41</v>
      </c>
    </row>
    <row r="4" spans="1:12">
      <c r="A4" s="2">
        <v>45962</v>
      </c>
      <c r="B4" t="s">
        <v>42</v>
      </c>
      <c r="C4" s="3" t="s">
        <v>43</v>
      </c>
      <c r="D4" t="s">
        <v>17</v>
      </c>
      <c r="E4" s="4">
        <v>-20</v>
      </c>
      <c r="F4" s="4">
        <v>20</v>
      </c>
      <c r="G4" s="4">
        <v>0</v>
      </c>
      <c r="H4" s="4">
        <v>7602.93</v>
      </c>
      <c r="I4" t="s">
        <v>36</v>
      </c>
      <c r="J4" t="s">
        <v>37</v>
      </c>
      <c r="K4">
        <v>1</v>
      </c>
      <c r="L4" s="3" t="s">
        <v>44</v>
      </c>
    </row>
    <row r="5" spans="1:12">
      <c r="A5" s="2">
        <v>45962</v>
      </c>
      <c r="B5" t="s">
        <v>45</v>
      </c>
      <c r="C5" s="3" t="s">
        <v>46</v>
      </c>
      <c r="D5" t="s">
        <v>5</v>
      </c>
      <c r="E5" s="4">
        <v>-5</v>
      </c>
      <c r="F5" s="4">
        <v>5</v>
      </c>
      <c r="G5" s="4">
        <v>0</v>
      </c>
      <c r="H5" s="4">
        <v>7597.93</v>
      </c>
      <c r="I5" t="s">
        <v>36</v>
      </c>
      <c r="J5" t="s">
        <v>37</v>
      </c>
      <c r="K5">
        <v>1</v>
      </c>
      <c r="L5" s="3" t="s">
        <v>47</v>
      </c>
    </row>
    <row r="6" spans="1:12">
      <c r="A6" s="2">
        <v>45962</v>
      </c>
      <c r="B6" t="s">
        <v>39</v>
      </c>
      <c r="C6" s="3" t="s">
        <v>40</v>
      </c>
      <c r="D6" t="s">
        <v>13</v>
      </c>
      <c r="E6" s="4">
        <v>-18.64</v>
      </c>
      <c r="F6" s="4">
        <v>18.64</v>
      </c>
      <c r="G6" s="4">
        <v>0</v>
      </c>
      <c r="H6" s="4">
        <v>7579.29</v>
      </c>
      <c r="I6" t="s">
        <v>36</v>
      </c>
      <c r="J6" s="5" t="s">
        <v>48</v>
      </c>
      <c r="K6">
        <v>1</v>
      </c>
      <c r="L6" s="3" t="s">
        <v>49</v>
      </c>
    </row>
    <row r="7" spans="1:12">
      <c r="A7" s="2">
        <v>45962</v>
      </c>
      <c r="B7" t="s">
        <v>50</v>
      </c>
      <c r="C7" s="3" t="s">
        <v>51</v>
      </c>
      <c r="D7" t="s">
        <v>17</v>
      </c>
      <c r="E7" s="4">
        <v>-6.09</v>
      </c>
      <c r="F7" s="4">
        <v>6.09</v>
      </c>
      <c r="G7" s="4">
        <v>0</v>
      </c>
      <c r="H7" s="4">
        <v>7573.2</v>
      </c>
      <c r="I7" t="s">
        <v>36</v>
      </c>
      <c r="J7" t="s">
        <v>37</v>
      </c>
      <c r="K7">
        <v>1</v>
      </c>
      <c r="L7" s="3" t="s">
        <v>52</v>
      </c>
    </row>
    <row r="8" spans="1:12">
      <c r="A8" s="2">
        <v>45962</v>
      </c>
      <c r="B8" t="s">
        <v>45</v>
      </c>
      <c r="C8" s="3" t="s">
        <v>43</v>
      </c>
      <c r="D8" t="s">
        <v>5</v>
      </c>
      <c r="E8" s="4">
        <v>-5</v>
      </c>
      <c r="F8" s="4">
        <v>5</v>
      </c>
      <c r="G8" s="4">
        <v>0</v>
      </c>
      <c r="H8" s="4">
        <v>7568.2</v>
      </c>
      <c r="I8" t="s">
        <v>36</v>
      </c>
      <c r="J8" t="s">
        <v>37</v>
      </c>
      <c r="K8">
        <v>1</v>
      </c>
      <c r="L8" s="3" t="s">
        <v>53</v>
      </c>
    </row>
    <row r="9" spans="1:12">
      <c r="A9" s="2">
        <v>45962</v>
      </c>
      <c r="B9" t="s">
        <v>45</v>
      </c>
      <c r="C9" s="3" t="s">
        <v>43</v>
      </c>
      <c r="D9" t="s">
        <v>5</v>
      </c>
      <c r="E9" s="4">
        <v>-67.79000000000001</v>
      </c>
      <c r="F9" s="4">
        <v>67.79000000000001</v>
      </c>
      <c r="G9" s="4">
        <v>0</v>
      </c>
      <c r="H9" s="4">
        <v>7500.41</v>
      </c>
      <c r="I9" t="s">
        <v>36</v>
      </c>
      <c r="J9" t="s">
        <v>37</v>
      </c>
      <c r="K9">
        <v>1</v>
      </c>
      <c r="L9" s="3" t="s">
        <v>54</v>
      </c>
    </row>
    <row r="10" spans="1:12">
      <c r="A10" s="2">
        <v>45962</v>
      </c>
      <c r="B10" t="s">
        <v>45</v>
      </c>
      <c r="C10" s="3" t="s">
        <v>43</v>
      </c>
      <c r="D10" t="s">
        <v>5</v>
      </c>
      <c r="E10" s="4">
        <v>-5</v>
      </c>
      <c r="F10" s="4">
        <v>5</v>
      </c>
      <c r="G10" s="4">
        <v>0</v>
      </c>
      <c r="H10" s="4">
        <v>7495.41</v>
      </c>
      <c r="I10" t="s">
        <v>36</v>
      </c>
      <c r="J10" t="s">
        <v>37</v>
      </c>
      <c r="K10">
        <v>2</v>
      </c>
      <c r="L10" s="3" t="s">
        <v>55</v>
      </c>
    </row>
    <row r="11" spans="1:12">
      <c r="A11" s="2">
        <v>45964</v>
      </c>
      <c r="B11" t="s">
        <v>56</v>
      </c>
      <c r="C11" s="3" t="s">
        <v>57</v>
      </c>
      <c r="D11" t="s">
        <v>4</v>
      </c>
      <c r="E11" s="4">
        <v>-10</v>
      </c>
      <c r="F11" s="4">
        <v>10</v>
      </c>
      <c r="G11" s="4">
        <v>0</v>
      </c>
      <c r="H11" s="4">
        <v>7485.41</v>
      </c>
      <c r="I11" t="s">
        <v>36</v>
      </c>
      <c r="J11" t="s">
        <v>37</v>
      </c>
      <c r="K11">
        <v>2</v>
      </c>
      <c r="L11" s="3" t="s">
        <v>58</v>
      </c>
    </row>
    <row r="12" spans="1:12">
      <c r="A12" s="2">
        <v>45964</v>
      </c>
      <c r="B12" t="s">
        <v>59</v>
      </c>
      <c r="C12" s="3" t="s">
        <v>60</v>
      </c>
      <c r="D12" t="s">
        <v>7</v>
      </c>
      <c r="E12" s="4">
        <v>-65.76000000000001</v>
      </c>
      <c r="F12" s="4">
        <v>65.76000000000001</v>
      </c>
      <c r="G12" s="4">
        <v>0</v>
      </c>
      <c r="H12" s="4">
        <v>7419.65</v>
      </c>
      <c r="I12" t="s">
        <v>36</v>
      </c>
      <c r="J12" t="s">
        <v>37</v>
      </c>
      <c r="K12">
        <v>2</v>
      </c>
      <c r="L12" s="3" t="s">
        <v>61</v>
      </c>
    </row>
    <row r="13" spans="1:12">
      <c r="A13" s="2">
        <v>45965</v>
      </c>
      <c r="B13" t="s">
        <v>62</v>
      </c>
      <c r="C13" s="3" t="s">
        <v>63</v>
      </c>
      <c r="D13" t="s">
        <v>17</v>
      </c>
      <c r="E13" s="4">
        <v>-4.21</v>
      </c>
      <c r="F13" s="4">
        <v>4.21</v>
      </c>
      <c r="G13" s="4">
        <v>0</v>
      </c>
      <c r="H13" s="4">
        <v>7415.44</v>
      </c>
      <c r="I13" t="s">
        <v>36</v>
      </c>
      <c r="J13" t="s">
        <v>37</v>
      </c>
      <c r="K13">
        <v>2</v>
      </c>
      <c r="L13" s="3" t="s">
        <v>64</v>
      </c>
    </row>
    <row r="14" spans="1:12">
      <c r="A14" s="2">
        <v>45965</v>
      </c>
      <c r="B14" t="s">
        <v>39</v>
      </c>
      <c r="C14" s="3" t="s">
        <v>65</v>
      </c>
      <c r="D14" t="s">
        <v>13</v>
      </c>
      <c r="E14" s="4">
        <v>-0.15</v>
      </c>
      <c r="F14" s="4">
        <v>0.15</v>
      </c>
      <c r="G14" s="4">
        <v>0</v>
      </c>
      <c r="H14" s="4">
        <v>7415.29</v>
      </c>
      <c r="I14" t="s">
        <v>36</v>
      </c>
      <c r="J14" t="s">
        <v>37</v>
      </c>
      <c r="K14">
        <v>2</v>
      </c>
      <c r="L14" s="3" t="s">
        <v>66</v>
      </c>
    </row>
    <row r="15" spans="1:12">
      <c r="A15" s="2">
        <v>45965</v>
      </c>
      <c r="B15" t="s">
        <v>67</v>
      </c>
      <c r="C15" s="3" t="s">
        <v>68</v>
      </c>
      <c r="D15" t="s">
        <v>17</v>
      </c>
      <c r="E15" s="4">
        <v>-144.88</v>
      </c>
      <c r="F15" s="4">
        <v>144.88</v>
      </c>
      <c r="G15" s="4">
        <v>0</v>
      </c>
      <c r="H15" s="4">
        <v>7270.41</v>
      </c>
      <c r="I15" t="s">
        <v>36</v>
      </c>
      <c r="J15" t="s">
        <v>37</v>
      </c>
      <c r="K15">
        <v>2</v>
      </c>
      <c r="L15" s="3" t="s">
        <v>69</v>
      </c>
    </row>
    <row r="16" spans="1:12">
      <c r="A16" s="2">
        <v>45965</v>
      </c>
      <c r="B16" t="s">
        <v>39</v>
      </c>
      <c r="C16" s="3" t="s">
        <v>70</v>
      </c>
      <c r="D16" t="s">
        <v>13</v>
      </c>
      <c r="E16" s="4">
        <v>-5.07</v>
      </c>
      <c r="F16" s="4">
        <v>5.07</v>
      </c>
      <c r="G16" s="4">
        <v>0</v>
      </c>
      <c r="H16" s="4">
        <v>7265.34</v>
      </c>
      <c r="I16" t="s">
        <v>36</v>
      </c>
      <c r="J16" t="s">
        <v>37</v>
      </c>
      <c r="K16">
        <v>2</v>
      </c>
      <c r="L16" s="3" t="s">
        <v>71</v>
      </c>
    </row>
    <row r="17" spans="1:12">
      <c r="A17" s="2">
        <v>45965</v>
      </c>
      <c r="B17" t="s">
        <v>72</v>
      </c>
      <c r="C17" s="3" t="s">
        <v>73</v>
      </c>
      <c r="D17" t="s">
        <v>3</v>
      </c>
      <c r="E17" s="4">
        <v>-23.82</v>
      </c>
      <c r="F17" s="4">
        <v>23.82</v>
      </c>
      <c r="G17" s="4">
        <v>0</v>
      </c>
      <c r="H17" s="4">
        <v>7241.52</v>
      </c>
      <c r="I17" t="s">
        <v>36</v>
      </c>
      <c r="J17" t="s">
        <v>37</v>
      </c>
      <c r="K17">
        <v>2</v>
      </c>
      <c r="L17" s="3" t="s">
        <v>74</v>
      </c>
    </row>
    <row r="18" spans="1:12">
      <c r="A18" s="2">
        <v>45965</v>
      </c>
      <c r="B18" t="s">
        <v>39</v>
      </c>
      <c r="C18" s="3" t="s">
        <v>75</v>
      </c>
      <c r="D18" t="s">
        <v>13</v>
      </c>
      <c r="E18" s="4">
        <v>-32.01</v>
      </c>
      <c r="F18" s="4">
        <v>32.01</v>
      </c>
      <c r="G18" s="4">
        <v>0</v>
      </c>
      <c r="H18" s="4">
        <v>7209.51</v>
      </c>
      <c r="I18" t="s">
        <v>36</v>
      </c>
      <c r="J18" s="5" t="s">
        <v>76</v>
      </c>
      <c r="K18">
        <v>2</v>
      </c>
      <c r="L18" s="3" t="s">
        <v>77</v>
      </c>
    </row>
    <row r="19" spans="1:12">
      <c r="A19" s="2">
        <v>45965</v>
      </c>
      <c r="B19" t="s">
        <v>39</v>
      </c>
      <c r="C19" s="3" t="s">
        <v>78</v>
      </c>
      <c r="D19" t="s">
        <v>13</v>
      </c>
      <c r="E19" s="4">
        <v>-11.36</v>
      </c>
      <c r="F19" s="4">
        <v>11.36</v>
      </c>
      <c r="G19" s="4">
        <v>0</v>
      </c>
      <c r="H19" s="4">
        <v>7198.15</v>
      </c>
      <c r="I19" t="s">
        <v>36</v>
      </c>
      <c r="J19" s="5" t="s">
        <v>79</v>
      </c>
      <c r="K19">
        <v>2</v>
      </c>
      <c r="L19" s="3" t="s">
        <v>80</v>
      </c>
    </row>
    <row r="20" spans="1:12">
      <c r="A20" s="2">
        <v>45965</v>
      </c>
      <c r="B20" t="s">
        <v>81</v>
      </c>
      <c r="C20" s="3" t="s">
        <v>82</v>
      </c>
      <c r="D20" t="s">
        <v>17</v>
      </c>
      <c r="E20" s="4">
        <v>-7.64</v>
      </c>
      <c r="F20" s="4">
        <v>7.64</v>
      </c>
      <c r="G20" s="4">
        <v>0</v>
      </c>
      <c r="H20" s="4">
        <v>7190.51</v>
      </c>
      <c r="I20" t="s">
        <v>36</v>
      </c>
      <c r="J20" t="s">
        <v>37</v>
      </c>
      <c r="K20">
        <v>2</v>
      </c>
      <c r="L20" s="3" t="s">
        <v>83</v>
      </c>
    </row>
    <row r="21" spans="1:12">
      <c r="A21" s="2">
        <v>45965</v>
      </c>
      <c r="B21" t="s">
        <v>39</v>
      </c>
      <c r="C21" s="3" t="s">
        <v>78</v>
      </c>
      <c r="D21" t="s">
        <v>13</v>
      </c>
      <c r="E21" s="4">
        <v>-0.27</v>
      </c>
      <c r="F21" s="4">
        <v>0.27</v>
      </c>
      <c r="G21" s="4">
        <v>0</v>
      </c>
      <c r="H21" s="4">
        <v>7190.24</v>
      </c>
      <c r="I21" t="s">
        <v>36</v>
      </c>
      <c r="J21" t="s">
        <v>37</v>
      </c>
      <c r="K21">
        <v>2</v>
      </c>
      <c r="L21" s="3" t="s">
        <v>84</v>
      </c>
    </row>
    <row r="22" spans="1:12">
      <c r="A22" s="2">
        <v>45966</v>
      </c>
      <c r="B22" t="s">
        <v>85</v>
      </c>
      <c r="C22" s="3" t="s">
        <v>86</v>
      </c>
      <c r="D22" t="s">
        <v>17</v>
      </c>
      <c r="E22" s="4">
        <v>-15.31</v>
      </c>
      <c r="F22" s="4">
        <v>15.31</v>
      </c>
      <c r="G22" s="4">
        <v>0</v>
      </c>
      <c r="H22" s="4">
        <v>7174.93</v>
      </c>
      <c r="I22" t="s">
        <v>36</v>
      </c>
      <c r="J22" t="s">
        <v>37</v>
      </c>
      <c r="K22">
        <v>2</v>
      </c>
      <c r="L22" s="3" t="s">
        <v>87</v>
      </c>
    </row>
    <row r="23" spans="1:12">
      <c r="A23" s="2">
        <v>45966</v>
      </c>
      <c r="B23" t="s">
        <v>39</v>
      </c>
      <c r="C23" s="3" t="s">
        <v>88</v>
      </c>
      <c r="D23" t="s">
        <v>13</v>
      </c>
      <c r="E23" s="4">
        <v>-0.54</v>
      </c>
      <c r="F23" s="4">
        <v>0.54</v>
      </c>
      <c r="G23" s="4">
        <v>0</v>
      </c>
      <c r="H23" s="4">
        <v>7174.39</v>
      </c>
      <c r="I23" t="s">
        <v>36</v>
      </c>
      <c r="J23" t="s">
        <v>37</v>
      </c>
      <c r="K23">
        <v>2</v>
      </c>
      <c r="L23" s="3" t="s">
        <v>89</v>
      </c>
    </row>
    <row r="24" spans="1:12">
      <c r="A24" s="2">
        <v>45966</v>
      </c>
      <c r="B24" t="s">
        <v>90</v>
      </c>
      <c r="C24" s="3" t="s">
        <v>91</v>
      </c>
      <c r="D24" t="s">
        <v>17</v>
      </c>
      <c r="E24" s="4">
        <v>-159.35</v>
      </c>
      <c r="F24" s="4">
        <v>159.35</v>
      </c>
      <c r="G24" s="4">
        <v>0</v>
      </c>
      <c r="H24" s="4">
        <v>7015.04</v>
      </c>
      <c r="I24" t="s">
        <v>36</v>
      </c>
      <c r="J24" t="s">
        <v>37</v>
      </c>
      <c r="K24">
        <v>3</v>
      </c>
      <c r="L24" s="3" t="s">
        <v>92</v>
      </c>
    </row>
    <row r="25" spans="1:12">
      <c r="A25" s="2">
        <v>45966</v>
      </c>
      <c r="B25" t="s">
        <v>39</v>
      </c>
      <c r="C25" s="3" t="s">
        <v>88</v>
      </c>
      <c r="D25" t="s">
        <v>13</v>
      </c>
      <c r="E25" s="4">
        <v>-5.58</v>
      </c>
      <c r="F25" s="4">
        <v>5.58</v>
      </c>
      <c r="G25" s="4">
        <v>0</v>
      </c>
      <c r="H25" s="4">
        <v>7009.46</v>
      </c>
      <c r="I25" t="s">
        <v>36</v>
      </c>
      <c r="J25" t="s">
        <v>37</v>
      </c>
      <c r="K25">
        <v>3</v>
      </c>
      <c r="L25" s="3" t="s">
        <v>93</v>
      </c>
    </row>
    <row r="26" spans="1:12">
      <c r="A26" s="2">
        <v>45966</v>
      </c>
      <c r="B26" t="s">
        <v>94</v>
      </c>
      <c r="C26" s="3" t="s">
        <v>95</v>
      </c>
      <c r="D26" t="s">
        <v>17</v>
      </c>
      <c r="E26" s="4">
        <v>-14.16</v>
      </c>
      <c r="F26" s="4">
        <v>14.16</v>
      </c>
      <c r="G26" s="4">
        <v>0</v>
      </c>
      <c r="H26" s="4">
        <v>6995.3</v>
      </c>
      <c r="I26" t="s">
        <v>36</v>
      </c>
      <c r="J26" t="s">
        <v>37</v>
      </c>
      <c r="K26">
        <v>3</v>
      </c>
      <c r="L26" s="3" t="s">
        <v>96</v>
      </c>
    </row>
    <row r="27" spans="1:12">
      <c r="A27" s="2">
        <v>45966</v>
      </c>
      <c r="B27" t="s">
        <v>39</v>
      </c>
      <c r="C27" s="3" t="s">
        <v>88</v>
      </c>
      <c r="D27" t="s">
        <v>13</v>
      </c>
      <c r="E27" s="4">
        <v>-0.5</v>
      </c>
      <c r="F27" s="4">
        <v>0.5</v>
      </c>
      <c r="G27" s="4">
        <v>0</v>
      </c>
      <c r="H27" s="4">
        <v>6994.8</v>
      </c>
      <c r="I27" t="s">
        <v>36</v>
      </c>
      <c r="J27" t="s">
        <v>37</v>
      </c>
      <c r="K27">
        <v>3</v>
      </c>
      <c r="L27" s="3" t="s">
        <v>97</v>
      </c>
    </row>
    <row r="28" spans="1:12">
      <c r="A28" s="2">
        <v>45966</v>
      </c>
      <c r="B28" t="s">
        <v>98</v>
      </c>
      <c r="C28" s="3" t="s">
        <v>99</v>
      </c>
      <c r="D28" t="s">
        <v>6</v>
      </c>
      <c r="E28" s="4">
        <v>-68</v>
      </c>
      <c r="F28" s="4">
        <v>68</v>
      </c>
      <c r="G28" s="4">
        <v>0</v>
      </c>
      <c r="H28" s="4">
        <v>6926.8</v>
      </c>
      <c r="I28" t="s">
        <v>36</v>
      </c>
      <c r="J28" t="s">
        <v>37</v>
      </c>
      <c r="K28">
        <v>3</v>
      </c>
      <c r="L28" s="3" t="s">
        <v>100</v>
      </c>
    </row>
    <row r="29" spans="1:12">
      <c r="A29" s="2">
        <v>45966</v>
      </c>
      <c r="B29" t="s">
        <v>56</v>
      </c>
      <c r="C29" s="3" t="s">
        <v>101</v>
      </c>
      <c r="D29" t="s">
        <v>4</v>
      </c>
      <c r="E29" s="4">
        <v>-10</v>
      </c>
      <c r="F29" s="4">
        <v>10</v>
      </c>
      <c r="G29" s="4">
        <v>0</v>
      </c>
      <c r="H29" s="4">
        <v>6916.8</v>
      </c>
      <c r="I29" t="s">
        <v>36</v>
      </c>
      <c r="J29" t="s">
        <v>37</v>
      </c>
      <c r="K29">
        <v>3</v>
      </c>
      <c r="L29" s="3" t="s">
        <v>102</v>
      </c>
    </row>
    <row r="30" spans="1:12">
      <c r="A30" s="2">
        <v>45967</v>
      </c>
      <c r="B30" t="s">
        <v>103</v>
      </c>
      <c r="C30" s="3" t="s">
        <v>104</v>
      </c>
      <c r="D30" t="s">
        <v>1</v>
      </c>
      <c r="E30" s="4">
        <v>-1700</v>
      </c>
      <c r="F30" s="4">
        <v>1700</v>
      </c>
      <c r="G30" s="4">
        <v>0</v>
      </c>
      <c r="H30" s="4">
        <v>5216.8</v>
      </c>
      <c r="I30" t="s">
        <v>36</v>
      </c>
      <c r="J30" t="s">
        <v>37</v>
      </c>
      <c r="K30">
        <v>3</v>
      </c>
      <c r="L30" s="3" t="s">
        <v>105</v>
      </c>
    </row>
    <row r="31" spans="1:12">
      <c r="A31" s="2">
        <v>45967</v>
      </c>
      <c r="B31" t="s">
        <v>106</v>
      </c>
      <c r="C31" s="3" t="s">
        <v>107</v>
      </c>
      <c r="D31" t="s">
        <v>17</v>
      </c>
      <c r="E31" s="4">
        <v>-56.62</v>
      </c>
      <c r="F31" s="4">
        <v>56.62</v>
      </c>
      <c r="G31" s="4">
        <v>0</v>
      </c>
      <c r="H31" s="4">
        <v>5160.18</v>
      </c>
      <c r="I31" t="s">
        <v>36</v>
      </c>
      <c r="J31" t="s">
        <v>37</v>
      </c>
      <c r="K31">
        <v>3</v>
      </c>
      <c r="L31" s="3" t="s">
        <v>108</v>
      </c>
    </row>
    <row r="32" spans="1:12">
      <c r="A32" s="2">
        <v>45967</v>
      </c>
      <c r="B32" t="s">
        <v>39</v>
      </c>
      <c r="C32" s="3" t="s">
        <v>109</v>
      </c>
      <c r="D32" t="s">
        <v>13</v>
      </c>
      <c r="E32" s="4">
        <v>-1.98</v>
      </c>
      <c r="F32" s="4">
        <v>1.98</v>
      </c>
      <c r="G32" s="4">
        <v>0</v>
      </c>
      <c r="H32" s="4">
        <v>5158.2</v>
      </c>
      <c r="I32" t="s">
        <v>36</v>
      </c>
      <c r="J32" t="s">
        <v>37</v>
      </c>
      <c r="K32">
        <v>3</v>
      </c>
      <c r="L32" s="3" t="s">
        <v>110</v>
      </c>
    </row>
    <row r="33" spans="1:12">
      <c r="A33" s="2">
        <v>45967</v>
      </c>
      <c r="B33" t="s">
        <v>111</v>
      </c>
      <c r="C33" s="3" t="s">
        <v>112</v>
      </c>
      <c r="D33" t="s">
        <v>3</v>
      </c>
      <c r="E33" s="4">
        <v>-14</v>
      </c>
      <c r="F33" s="4">
        <v>14</v>
      </c>
      <c r="G33" s="4">
        <v>0</v>
      </c>
      <c r="H33" s="4">
        <v>5144.2</v>
      </c>
      <c r="I33" t="s">
        <v>36</v>
      </c>
      <c r="J33" t="s">
        <v>37</v>
      </c>
      <c r="K33">
        <v>3</v>
      </c>
      <c r="L33" s="3" t="s">
        <v>113</v>
      </c>
    </row>
    <row r="34" spans="1:12">
      <c r="A34" s="2">
        <v>45967</v>
      </c>
      <c r="B34" t="s">
        <v>39</v>
      </c>
      <c r="C34" s="3" t="s">
        <v>109</v>
      </c>
      <c r="D34" t="s">
        <v>13</v>
      </c>
      <c r="E34" s="4">
        <v>-0.49</v>
      </c>
      <c r="F34" s="4">
        <v>0.49</v>
      </c>
      <c r="G34" s="4">
        <v>0</v>
      </c>
      <c r="H34" s="4">
        <v>5143.71</v>
      </c>
      <c r="I34" t="s">
        <v>36</v>
      </c>
      <c r="J34" t="s">
        <v>37</v>
      </c>
      <c r="K34">
        <v>3</v>
      </c>
      <c r="L34" s="3" t="s">
        <v>114</v>
      </c>
    </row>
    <row r="35" spans="1:12">
      <c r="A35" s="2">
        <v>45967</v>
      </c>
      <c r="B35" t="s">
        <v>115</v>
      </c>
      <c r="C35" s="3" t="s">
        <v>116</v>
      </c>
      <c r="D35" t="s">
        <v>17</v>
      </c>
      <c r="E35" s="4">
        <v>-13.29</v>
      </c>
      <c r="F35" s="4">
        <v>13.29</v>
      </c>
      <c r="G35" s="4">
        <v>0</v>
      </c>
      <c r="H35" s="4">
        <v>5130.42</v>
      </c>
      <c r="I35" t="s">
        <v>36</v>
      </c>
      <c r="J35" t="s">
        <v>37</v>
      </c>
      <c r="K35">
        <v>3</v>
      </c>
      <c r="L35" s="3" t="s">
        <v>117</v>
      </c>
    </row>
    <row r="36" spans="1:12">
      <c r="A36" s="2">
        <v>45967</v>
      </c>
      <c r="B36" t="s">
        <v>39</v>
      </c>
      <c r="C36" s="3" t="s">
        <v>109</v>
      </c>
      <c r="D36" t="s">
        <v>13</v>
      </c>
      <c r="E36" s="4">
        <v>-0.47</v>
      </c>
      <c r="F36" s="4">
        <v>0.47</v>
      </c>
      <c r="G36" s="4">
        <v>0</v>
      </c>
      <c r="H36" s="4">
        <v>5129.95</v>
      </c>
      <c r="I36" t="s">
        <v>36</v>
      </c>
      <c r="J36" t="s">
        <v>37</v>
      </c>
      <c r="K36">
        <v>3</v>
      </c>
      <c r="L36" s="3" t="s">
        <v>118</v>
      </c>
    </row>
    <row r="37" spans="1:12">
      <c r="A37" s="2">
        <v>45968</v>
      </c>
      <c r="B37" t="s">
        <v>119</v>
      </c>
      <c r="C37" s="3" t="s">
        <v>120</v>
      </c>
      <c r="D37" t="s">
        <v>7</v>
      </c>
      <c r="E37" s="4">
        <v>-99</v>
      </c>
      <c r="F37" s="4">
        <v>99</v>
      </c>
      <c r="G37" s="4">
        <v>0</v>
      </c>
      <c r="H37" s="4">
        <v>5030.95</v>
      </c>
      <c r="I37" t="s">
        <v>36</v>
      </c>
      <c r="J37" t="s">
        <v>37</v>
      </c>
      <c r="K37">
        <v>3</v>
      </c>
      <c r="L37" s="3" t="s">
        <v>121</v>
      </c>
    </row>
    <row r="38" spans="1:12">
      <c r="A38" s="2">
        <v>45968</v>
      </c>
      <c r="B38" t="s">
        <v>122</v>
      </c>
      <c r="C38" s="3"/>
      <c r="D38" t="s">
        <v>17</v>
      </c>
      <c r="E38" s="4">
        <v>-13.13</v>
      </c>
      <c r="F38" s="4">
        <v>13.13</v>
      </c>
      <c r="G38" s="4">
        <v>0</v>
      </c>
      <c r="H38" s="4">
        <v>5017.82</v>
      </c>
      <c r="I38" t="s">
        <v>36</v>
      </c>
      <c r="J38" s="5" t="s">
        <v>123</v>
      </c>
      <c r="K38">
        <v>3</v>
      </c>
      <c r="L38" s="3" t="s">
        <v>124</v>
      </c>
    </row>
    <row r="39" spans="1:12">
      <c r="A39" s="2">
        <v>45969</v>
      </c>
      <c r="B39" t="s">
        <v>125</v>
      </c>
      <c r="C39" s="3" t="s">
        <v>126</v>
      </c>
      <c r="D39" t="s">
        <v>5</v>
      </c>
      <c r="E39" s="4">
        <v>-60</v>
      </c>
      <c r="F39" s="4">
        <v>60</v>
      </c>
      <c r="G39" s="4">
        <v>0</v>
      </c>
      <c r="H39" s="4">
        <v>4957.82</v>
      </c>
      <c r="I39" t="s">
        <v>36</v>
      </c>
      <c r="J39" t="s">
        <v>37</v>
      </c>
      <c r="K39">
        <v>3</v>
      </c>
      <c r="L39" s="3" t="s">
        <v>127</v>
      </c>
    </row>
    <row r="40" spans="1:12">
      <c r="A40" s="2">
        <v>45969</v>
      </c>
      <c r="B40" t="s">
        <v>45</v>
      </c>
      <c r="C40" s="3" t="s">
        <v>128</v>
      </c>
      <c r="D40" t="s">
        <v>5</v>
      </c>
      <c r="E40" s="4">
        <v>-103.02</v>
      </c>
      <c r="F40" s="4">
        <v>103.02</v>
      </c>
      <c r="G40" s="4">
        <v>0</v>
      </c>
      <c r="H40" s="4">
        <v>4854.8</v>
      </c>
      <c r="I40" t="s">
        <v>36</v>
      </c>
      <c r="J40" t="s">
        <v>37</v>
      </c>
      <c r="K40">
        <v>3</v>
      </c>
      <c r="L40" s="3" t="s">
        <v>129</v>
      </c>
    </row>
    <row r="41" spans="1:12">
      <c r="A41" s="2">
        <v>45969</v>
      </c>
      <c r="B41" t="s">
        <v>81</v>
      </c>
      <c r="C41" s="3" t="s">
        <v>130</v>
      </c>
      <c r="D41" t="s">
        <v>17</v>
      </c>
      <c r="E41" s="4">
        <v>-6.18</v>
      </c>
      <c r="F41" s="4">
        <v>6.18</v>
      </c>
      <c r="G41" s="4">
        <v>0</v>
      </c>
      <c r="H41" s="4">
        <v>4848.62</v>
      </c>
      <c r="I41" t="s">
        <v>36</v>
      </c>
      <c r="J41" t="s">
        <v>37</v>
      </c>
      <c r="K41">
        <v>3</v>
      </c>
      <c r="L41" s="3" t="s">
        <v>131</v>
      </c>
    </row>
    <row r="42" spans="1:12">
      <c r="A42" s="2">
        <v>45969</v>
      </c>
      <c r="B42" t="s">
        <v>39</v>
      </c>
      <c r="C42" s="3" t="s">
        <v>132</v>
      </c>
      <c r="D42" t="s">
        <v>13</v>
      </c>
      <c r="E42" s="4">
        <v>-0.22</v>
      </c>
      <c r="F42" s="4">
        <v>0.22</v>
      </c>
      <c r="G42" s="4">
        <v>0</v>
      </c>
      <c r="H42" s="4">
        <v>4848.4</v>
      </c>
      <c r="I42" t="s">
        <v>36</v>
      </c>
      <c r="J42" t="s">
        <v>37</v>
      </c>
      <c r="K42">
        <v>3</v>
      </c>
      <c r="L42" s="3" t="s">
        <v>133</v>
      </c>
    </row>
    <row r="43" spans="1:12">
      <c r="A43" s="2">
        <v>45969</v>
      </c>
      <c r="B43" t="s">
        <v>134</v>
      </c>
      <c r="C43" s="3" t="s">
        <v>135</v>
      </c>
      <c r="D43" t="s">
        <v>17</v>
      </c>
      <c r="E43" s="4">
        <v>-8.970000000000001</v>
      </c>
      <c r="F43" s="4">
        <v>8.970000000000001</v>
      </c>
      <c r="G43" s="4">
        <v>0</v>
      </c>
      <c r="H43" s="4">
        <v>4839.43</v>
      </c>
      <c r="I43" t="s">
        <v>36</v>
      </c>
      <c r="J43" t="s">
        <v>37</v>
      </c>
      <c r="K43">
        <v>3</v>
      </c>
      <c r="L43" s="3" t="s">
        <v>136</v>
      </c>
    </row>
    <row r="44" spans="1:12">
      <c r="A44" s="2">
        <v>45969</v>
      </c>
      <c r="B44" t="s">
        <v>39</v>
      </c>
      <c r="C44" s="3" t="s">
        <v>132</v>
      </c>
      <c r="D44" t="s">
        <v>13</v>
      </c>
      <c r="E44" s="4">
        <v>-0.31</v>
      </c>
      <c r="F44" s="4">
        <v>0.31</v>
      </c>
      <c r="G44" s="4">
        <v>0</v>
      </c>
      <c r="H44" s="4">
        <v>4839.12</v>
      </c>
      <c r="I44" t="s">
        <v>36</v>
      </c>
      <c r="J44" t="s">
        <v>37</v>
      </c>
      <c r="K44">
        <v>3</v>
      </c>
      <c r="L44" s="3" t="s">
        <v>137</v>
      </c>
    </row>
    <row r="45" spans="1:12">
      <c r="A45" s="2">
        <v>45969</v>
      </c>
      <c r="B45" t="s">
        <v>138</v>
      </c>
      <c r="C45" s="3" t="s">
        <v>139</v>
      </c>
      <c r="D45" t="s">
        <v>17</v>
      </c>
      <c r="E45" s="4">
        <v>-8.98</v>
      </c>
      <c r="F45" s="4">
        <v>8.98</v>
      </c>
      <c r="G45" s="4">
        <v>0</v>
      </c>
      <c r="H45" s="4">
        <v>4830.14</v>
      </c>
      <c r="I45" t="s">
        <v>36</v>
      </c>
      <c r="J45" t="s">
        <v>37</v>
      </c>
      <c r="K45">
        <v>4</v>
      </c>
      <c r="L45" s="3" t="s">
        <v>140</v>
      </c>
    </row>
    <row r="46" spans="1:12">
      <c r="A46" s="2">
        <v>45969</v>
      </c>
      <c r="B46" t="s">
        <v>39</v>
      </c>
      <c r="C46" s="3" t="s">
        <v>132</v>
      </c>
      <c r="D46" t="s">
        <v>13</v>
      </c>
      <c r="E46" s="4">
        <v>-0.31</v>
      </c>
      <c r="F46" s="4">
        <v>0.31</v>
      </c>
      <c r="G46" s="4">
        <v>0</v>
      </c>
      <c r="H46" s="4">
        <v>4829.83</v>
      </c>
      <c r="I46" t="s">
        <v>36</v>
      </c>
      <c r="J46" t="s">
        <v>37</v>
      </c>
      <c r="K46">
        <v>4</v>
      </c>
      <c r="L46" s="3" t="s">
        <v>141</v>
      </c>
    </row>
    <row r="47" spans="1:12">
      <c r="A47" s="2">
        <v>45969</v>
      </c>
      <c r="B47" t="s">
        <v>142</v>
      </c>
      <c r="C47" s="3"/>
      <c r="D47" t="s">
        <v>3</v>
      </c>
      <c r="E47" s="4">
        <v>-8.119999999999999</v>
      </c>
      <c r="F47" s="4">
        <v>8.119999999999999</v>
      </c>
      <c r="G47" s="4">
        <v>0</v>
      </c>
      <c r="H47" s="4">
        <v>4821.71</v>
      </c>
      <c r="I47" t="s">
        <v>36</v>
      </c>
      <c r="J47" t="s">
        <v>37</v>
      </c>
      <c r="K47">
        <v>4</v>
      </c>
      <c r="L47" s="3" t="s">
        <v>143</v>
      </c>
    </row>
    <row r="48" spans="1:12">
      <c r="A48" s="2">
        <v>45969</v>
      </c>
      <c r="B48" t="s">
        <v>144</v>
      </c>
      <c r="C48" s="3"/>
      <c r="D48" t="s">
        <v>2</v>
      </c>
      <c r="E48" s="4">
        <v>-24.89</v>
      </c>
      <c r="F48" s="4">
        <v>24.89</v>
      </c>
      <c r="G48" s="4">
        <v>0</v>
      </c>
      <c r="H48" s="4">
        <v>4796.82</v>
      </c>
      <c r="I48" t="s">
        <v>36</v>
      </c>
      <c r="J48" t="s">
        <v>37</v>
      </c>
      <c r="K48">
        <v>4</v>
      </c>
      <c r="L48" s="3" t="s">
        <v>145</v>
      </c>
    </row>
    <row r="49" spans="1:12">
      <c r="A49" s="2">
        <v>45970</v>
      </c>
      <c r="B49" t="s">
        <v>146</v>
      </c>
      <c r="C49" s="3"/>
      <c r="D49" t="s">
        <v>17</v>
      </c>
      <c r="E49" s="4">
        <v>-4.5</v>
      </c>
      <c r="F49" s="4">
        <v>4.5</v>
      </c>
      <c r="G49" s="4">
        <v>0</v>
      </c>
      <c r="H49" s="4">
        <v>4792.32</v>
      </c>
      <c r="I49" t="s">
        <v>36</v>
      </c>
      <c r="J49" t="s">
        <v>37</v>
      </c>
      <c r="K49">
        <v>4</v>
      </c>
      <c r="L49" s="3" t="s">
        <v>147</v>
      </c>
    </row>
    <row r="50" spans="1:12">
      <c r="A50" s="2">
        <v>45970</v>
      </c>
      <c r="B50" t="s">
        <v>142</v>
      </c>
      <c r="C50" s="3"/>
      <c r="D50" t="s">
        <v>3</v>
      </c>
      <c r="E50" s="4">
        <v>-14.2</v>
      </c>
      <c r="F50" s="4">
        <v>14.2</v>
      </c>
      <c r="G50" s="4">
        <v>0</v>
      </c>
      <c r="H50" s="4">
        <v>4778.12</v>
      </c>
      <c r="I50" t="s">
        <v>36</v>
      </c>
      <c r="J50" t="s">
        <v>37</v>
      </c>
      <c r="K50">
        <v>4</v>
      </c>
      <c r="L50" s="3" t="s">
        <v>148</v>
      </c>
    </row>
    <row r="51" spans="1:12">
      <c r="A51" s="2">
        <v>45971</v>
      </c>
      <c r="B51" t="s">
        <v>149</v>
      </c>
      <c r="C51" s="3"/>
      <c r="D51" t="s">
        <v>3</v>
      </c>
      <c r="E51" s="4">
        <v>-4.5</v>
      </c>
      <c r="F51" s="4">
        <v>4.5</v>
      </c>
      <c r="G51" s="4">
        <v>0</v>
      </c>
      <c r="H51" s="4">
        <v>4773.62</v>
      </c>
      <c r="I51" t="s">
        <v>36</v>
      </c>
      <c r="J51" t="s">
        <v>37</v>
      </c>
      <c r="K51">
        <v>4</v>
      </c>
      <c r="L51" s="3" t="s">
        <v>150</v>
      </c>
    </row>
    <row r="52" spans="1:12">
      <c r="A52" s="2">
        <v>45971</v>
      </c>
      <c r="B52" t="s">
        <v>151</v>
      </c>
      <c r="C52" s="3"/>
      <c r="D52" t="s">
        <v>3</v>
      </c>
      <c r="E52" s="4">
        <v>-2.95</v>
      </c>
      <c r="F52" s="4">
        <v>2.95</v>
      </c>
      <c r="G52" s="4">
        <v>0</v>
      </c>
      <c r="H52" s="4">
        <v>4770.67</v>
      </c>
      <c r="I52" t="s">
        <v>36</v>
      </c>
      <c r="J52" t="s">
        <v>37</v>
      </c>
      <c r="K52">
        <v>4</v>
      </c>
      <c r="L52" s="3" t="s">
        <v>152</v>
      </c>
    </row>
    <row r="53" spans="1:12">
      <c r="A53" s="2">
        <v>45972</v>
      </c>
      <c r="B53" t="s">
        <v>153</v>
      </c>
      <c r="C53" s="3" t="s">
        <v>154</v>
      </c>
      <c r="D53" t="s">
        <v>3</v>
      </c>
      <c r="E53" s="4">
        <v>-64.7</v>
      </c>
      <c r="F53" s="4">
        <v>64.7</v>
      </c>
      <c r="G53" s="4">
        <v>0</v>
      </c>
      <c r="H53" s="4">
        <v>4705.97</v>
      </c>
      <c r="I53" t="s">
        <v>36</v>
      </c>
      <c r="J53" t="s">
        <v>37</v>
      </c>
      <c r="K53">
        <v>4</v>
      </c>
      <c r="L53" s="3" t="s">
        <v>155</v>
      </c>
    </row>
    <row r="54" spans="1:12">
      <c r="A54" s="2">
        <v>45972</v>
      </c>
      <c r="B54" t="s">
        <v>156</v>
      </c>
      <c r="C54" s="3" t="s">
        <v>157</v>
      </c>
      <c r="D54" t="s">
        <v>21</v>
      </c>
      <c r="E54" s="4">
        <v>0.02</v>
      </c>
      <c r="F54" s="4">
        <v>0</v>
      </c>
      <c r="G54" s="4">
        <v>0.02</v>
      </c>
      <c r="H54" s="4">
        <v>4705.99</v>
      </c>
      <c r="I54" t="s">
        <v>36</v>
      </c>
      <c r="J54" t="s">
        <v>37</v>
      </c>
      <c r="K54">
        <v>4</v>
      </c>
      <c r="L54" s="3" t="s">
        <v>158</v>
      </c>
    </row>
    <row r="55" spans="1:12">
      <c r="A55" s="2">
        <v>45972</v>
      </c>
      <c r="B55" t="s">
        <v>45</v>
      </c>
      <c r="C55" s="3" t="s">
        <v>157</v>
      </c>
      <c r="D55" t="s">
        <v>5</v>
      </c>
      <c r="E55" s="4">
        <v>-3</v>
      </c>
      <c r="F55" s="4">
        <v>3</v>
      </c>
      <c r="G55" s="4">
        <v>0</v>
      </c>
      <c r="H55" s="4">
        <v>4702.99</v>
      </c>
      <c r="I55" t="s">
        <v>36</v>
      </c>
      <c r="J55" t="s">
        <v>37</v>
      </c>
      <c r="K55">
        <v>4</v>
      </c>
      <c r="L55" s="3" t="s">
        <v>159</v>
      </c>
    </row>
    <row r="56" spans="1:12">
      <c r="A56" s="2">
        <v>45972</v>
      </c>
      <c r="B56" t="s">
        <v>160</v>
      </c>
      <c r="C56" s="3" t="s">
        <v>157</v>
      </c>
      <c r="D56" t="s">
        <v>17</v>
      </c>
      <c r="E56" s="4">
        <v>-43.2</v>
      </c>
      <c r="F56" s="4">
        <v>43.2</v>
      </c>
      <c r="G56" s="4">
        <v>0</v>
      </c>
      <c r="H56" s="4">
        <v>4659.79</v>
      </c>
      <c r="I56" t="s">
        <v>36</v>
      </c>
      <c r="J56" t="s">
        <v>37</v>
      </c>
      <c r="K56">
        <v>4</v>
      </c>
      <c r="L56" s="3" t="s">
        <v>161</v>
      </c>
    </row>
    <row r="57" spans="1:12">
      <c r="A57" s="2">
        <v>45972</v>
      </c>
      <c r="B57" t="s">
        <v>45</v>
      </c>
      <c r="C57" s="3" t="s">
        <v>157</v>
      </c>
      <c r="D57" t="s">
        <v>5</v>
      </c>
      <c r="E57" s="4">
        <v>-12.75</v>
      </c>
      <c r="F57" s="4">
        <v>12.75</v>
      </c>
      <c r="G57" s="4">
        <v>0</v>
      </c>
      <c r="H57" s="4">
        <v>4647.04</v>
      </c>
      <c r="I57" t="s">
        <v>36</v>
      </c>
      <c r="J57" t="s">
        <v>37</v>
      </c>
      <c r="K57">
        <v>4</v>
      </c>
      <c r="L57" s="3" t="s">
        <v>162</v>
      </c>
    </row>
    <row r="58" spans="1:12">
      <c r="A58" s="2">
        <v>45972</v>
      </c>
      <c r="B58" t="s">
        <v>163</v>
      </c>
      <c r="C58" s="3" t="s">
        <v>157</v>
      </c>
      <c r="D58" t="s">
        <v>3</v>
      </c>
      <c r="E58" s="4">
        <v>-6.5</v>
      </c>
      <c r="F58" s="4">
        <v>6.5</v>
      </c>
      <c r="G58" s="4">
        <v>0</v>
      </c>
      <c r="H58" s="4">
        <v>4640.54</v>
      </c>
      <c r="I58" t="s">
        <v>36</v>
      </c>
      <c r="J58" t="s">
        <v>37</v>
      </c>
      <c r="K58">
        <v>4</v>
      </c>
      <c r="L58" s="3" t="s">
        <v>164</v>
      </c>
    </row>
    <row r="59" spans="1:12">
      <c r="A59" s="2">
        <v>45972</v>
      </c>
      <c r="B59" t="s">
        <v>45</v>
      </c>
      <c r="C59" s="3" t="s">
        <v>157</v>
      </c>
      <c r="D59" t="s">
        <v>5</v>
      </c>
      <c r="E59" s="4">
        <v>-16.03</v>
      </c>
      <c r="F59" s="4">
        <v>16.03</v>
      </c>
      <c r="G59" s="4">
        <v>0</v>
      </c>
      <c r="H59" s="4">
        <v>4624.51</v>
      </c>
      <c r="I59" t="s">
        <v>36</v>
      </c>
      <c r="J59" t="s">
        <v>37</v>
      </c>
      <c r="K59">
        <v>4</v>
      </c>
      <c r="L59" s="3" t="s">
        <v>165</v>
      </c>
    </row>
    <row r="60" spans="1:12">
      <c r="A60" s="2">
        <v>45972</v>
      </c>
      <c r="B60" t="s">
        <v>166</v>
      </c>
      <c r="C60" s="3" t="s">
        <v>167</v>
      </c>
      <c r="D60" t="s">
        <v>2</v>
      </c>
      <c r="E60" s="4">
        <v>-64.39</v>
      </c>
      <c r="F60" s="4">
        <v>64.39</v>
      </c>
      <c r="G60" s="4">
        <v>0</v>
      </c>
      <c r="H60" s="4">
        <v>4560.12</v>
      </c>
      <c r="I60" t="s">
        <v>36</v>
      </c>
      <c r="J60" t="s">
        <v>37</v>
      </c>
      <c r="K60">
        <v>4</v>
      </c>
      <c r="L60" s="3" t="s">
        <v>168</v>
      </c>
    </row>
    <row r="61" spans="1:12">
      <c r="A61" s="2">
        <v>45972</v>
      </c>
      <c r="B61" t="s">
        <v>169</v>
      </c>
      <c r="C61" s="3" t="s">
        <v>167</v>
      </c>
      <c r="D61" t="s">
        <v>3</v>
      </c>
      <c r="E61" s="4">
        <v>-11.5</v>
      </c>
      <c r="F61" s="4">
        <v>11.5</v>
      </c>
      <c r="G61" s="4">
        <v>0</v>
      </c>
      <c r="H61" s="4">
        <v>4548.62</v>
      </c>
      <c r="I61" t="s">
        <v>36</v>
      </c>
      <c r="J61" t="s">
        <v>37</v>
      </c>
      <c r="K61">
        <v>4</v>
      </c>
      <c r="L61" s="3" t="s">
        <v>170</v>
      </c>
    </row>
    <row r="62" spans="1:12">
      <c r="A62" s="2">
        <v>45972</v>
      </c>
      <c r="B62" t="s">
        <v>171</v>
      </c>
      <c r="C62" s="3" t="s">
        <v>172</v>
      </c>
      <c r="D62" t="s">
        <v>3</v>
      </c>
      <c r="E62" s="4">
        <v>-22.73</v>
      </c>
      <c r="F62" s="4">
        <v>22.73</v>
      </c>
      <c r="G62" s="4">
        <v>0</v>
      </c>
      <c r="H62" s="4">
        <v>4525.89</v>
      </c>
      <c r="I62" t="s">
        <v>36</v>
      </c>
      <c r="J62" t="s">
        <v>37</v>
      </c>
      <c r="K62">
        <v>4</v>
      </c>
      <c r="L62" s="3" t="s">
        <v>173</v>
      </c>
    </row>
    <row r="63" spans="1:12">
      <c r="A63" s="2">
        <v>45972</v>
      </c>
      <c r="B63" t="s">
        <v>174</v>
      </c>
      <c r="C63" s="3" t="s">
        <v>167</v>
      </c>
      <c r="D63" t="s">
        <v>17</v>
      </c>
      <c r="E63" s="4">
        <v>-258.58</v>
      </c>
      <c r="F63" s="4">
        <v>258.58</v>
      </c>
      <c r="G63" s="4">
        <v>0</v>
      </c>
      <c r="H63" s="4">
        <v>4267.31</v>
      </c>
      <c r="I63" t="s">
        <v>36</v>
      </c>
      <c r="J63" t="s">
        <v>37</v>
      </c>
      <c r="K63">
        <v>4</v>
      </c>
      <c r="L63" s="3" t="s">
        <v>175</v>
      </c>
    </row>
    <row r="64" spans="1:12">
      <c r="A64" s="2">
        <v>45972</v>
      </c>
      <c r="B64" t="s">
        <v>176</v>
      </c>
      <c r="C64" s="3" t="s">
        <v>167</v>
      </c>
      <c r="D64" t="s">
        <v>17</v>
      </c>
      <c r="E64" s="4">
        <v>-17.88</v>
      </c>
      <c r="F64" s="4">
        <v>17.88</v>
      </c>
      <c r="G64" s="4">
        <v>0</v>
      </c>
      <c r="H64" s="4">
        <v>4249.43</v>
      </c>
      <c r="I64" t="s">
        <v>36</v>
      </c>
      <c r="J64" t="s">
        <v>37</v>
      </c>
      <c r="K64">
        <v>4</v>
      </c>
      <c r="L64" s="3" t="s">
        <v>177</v>
      </c>
    </row>
    <row r="65" spans="1:12">
      <c r="A65" s="2">
        <v>45972</v>
      </c>
      <c r="B65" t="s">
        <v>178</v>
      </c>
      <c r="C65" s="3"/>
      <c r="D65" t="s">
        <v>3</v>
      </c>
      <c r="E65" s="4">
        <v>-4.55</v>
      </c>
      <c r="F65" s="4">
        <v>4.55</v>
      </c>
      <c r="G65" s="4">
        <v>0</v>
      </c>
      <c r="H65" s="4">
        <v>4244.88</v>
      </c>
      <c r="I65" t="s">
        <v>36</v>
      </c>
      <c r="J65" t="s">
        <v>37</v>
      </c>
      <c r="K65">
        <v>4</v>
      </c>
      <c r="L65" s="3" t="s">
        <v>179</v>
      </c>
    </row>
    <row r="66" spans="1:12">
      <c r="A66" s="2">
        <v>45972</v>
      </c>
      <c r="B66" t="s">
        <v>144</v>
      </c>
      <c r="C66" s="3"/>
      <c r="D66" t="s">
        <v>2</v>
      </c>
      <c r="E66" s="4">
        <v>-6.3</v>
      </c>
      <c r="F66" s="4">
        <v>6.3</v>
      </c>
      <c r="G66" s="4">
        <v>0</v>
      </c>
      <c r="H66" s="4">
        <v>4238.58</v>
      </c>
      <c r="I66" t="s">
        <v>36</v>
      </c>
      <c r="J66" t="s">
        <v>37</v>
      </c>
      <c r="K66">
        <v>4</v>
      </c>
      <c r="L66" s="3" t="s">
        <v>180</v>
      </c>
    </row>
    <row r="67" spans="1:12">
      <c r="A67" s="2">
        <v>45973</v>
      </c>
      <c r="B67" t="s">
        <v>181</v>
      </c>
      <c r="C67" s="3" t="s">
        <v>182</v>
      </c>
      <c r="D67" t="s">
        <v>17</v>
      </c>
      <c r="E67" s="4">
        <v>-7</v>
      </c>
      <c r="F67" s="4">
        <v>7</v>
      </c>
      <c r="G67" s="4">
        <v>0</v>
      </c>
      <c r="H67" s="4">
        <v>4231.58</v>
      </c>
      <c r="I67" t="s">
        <v>36</v>
      </c>
      <c r="J67" t="s">
        <v>37</v>
      </c>
      <c r="K67">
        <v>4</v>
      </c>
      <c r="L67" s="3" t="s">
        <v>183</v>
      </c>
    </row>
    <row r="68" spans="1:12">
      <c r="A68" s="2">
        <v>45973</v>
      </c>
      <c r="B68" t="s">
        <v>184</v>
      </c>
      <c r="C68" s="3" t="s">
        <v>182</v>
      </c>
      <c r="D68" t="s">
        <v>7</v>
      </c>
      <c r="E68" s="4">
        <v>-305</v>
      </c>
      <c r="F68" s="4">
        <v>305</v>
      </c>
      <c r="G68" s="4">
        <v>0</v>
      </c>
      <c r="H68" s="4">
        <v>3926.58</v>
      </c>
      <c r="I68" t="s">
        <v>36</v>
      </c>
      <c r="J68" t="s">
        <v>37</v>
      </c>
      <c r="K68">
        <v>5</v>
      </c>
      <c r="L68" s="3" t="s">
        <v>185</v>
      </c>
    </row>
    <row r="69" spans="1:12">
      <c r="A69" s="2">
        <v>45973</v>
      </c>
      <c r="B69" t="s">
        <v>186</v>
      </c>
      <c r="C69" s="3" t="s">
        <v>187</v>
      </c>
      <c r="D69" t="s">
        <v>5</v>
      </c>
      <c r="E69" s="4">
        <v>-4.03</v>
      </c>
      <c r="F69" s="4">
        <v>4.03</v>
      </c>
      <c r="G69" s="4">
        <v>0</v>
      </c>
      <c r="H69" s="4">
        <v>3922.55</v>
      </c>
      <c r="I69" t="s">
        <v>36</v>
      </c>
      <c r="J69" t="s">
        <v>37</v>
      </c>
      <c r="K69">
        <v>5</v>
      </c>
      <c r="L69" s="3" t="s">
        <v>188</v>
      </c>
    </row>
    <row r="70" spans="1:12">
      <c r="A70" s="2">
        <v>45973</v>
      </c>
      <c r="B70" t="s">
        <v>189</v>
      </c>
      <c r="C70" s="3" t="s">
        <v>187</v>
      </c>
      <c r="D70" t="s">
        <v>17</v>
      </c>
      <c r="E70" s="4">
        <v>-7.31</v>
      </c>
      <c r="F70" s="4">
        <v>7.31</v>
      </c>
      <c r="G70" s="4">
        <v>0</v>
      </c>
      <c r="H70" s="4">
        <v>3915.24</v>
      </c>
      <c r="I70" t="s">
        <v>36</v>
      </c>
      <c r="J70" t="s">
        <v>37</v>
      </c>
      <c r="K70">
        <v>5</v>
      </c>
      <c r="L70" s="3" t="s">
        <v>190</v>
      </c>
    </row>
    <row r="71" spans="1:12">
      <c r="A71" s="2">
        <v>45973</v>
      </c>
      <c r="B71" t="s">
        <v>191</v>
      </c>
      <c r="C71" s="3" t="s">
        <v>192</v>
      </c>
      <c r="D71" t="s">
        <v>3</v>
      </c>
      <c r="E71" s="4">
        <v>-4.08</v>
      </c>
      <c r="F71" s="4">
        <v>4.08</v>
      </c>
      <c r="G71" s="4">
        <v>0</v>
      </c>
      <c r="H71" s="4">
        <v>3911.16</v>
      </c>
      <c r="I71" t="s">
        <v>36</v>
      </c>
      <c r="J71" t="s">
        <v>37</v>
      </c>
      <c r="K71">
        <v>5</v>
      </c>
      <c r="L71" s="3" t="s">
        <v>193</v>
      </c>
    </row>
    <row r="72" spans="1:12">
      <c r="A72" s="2">
        <v>45973</v>
      </c>
      <c r="B72" t="s">
        <v>146</v>
      </c>
      <c r="C72" s="3"/>
      <c r="D72" t="s">
        <v>17</v>
      </c>
      <c r="E72" s="4">
        <v>-9</v>
      </c>
      <c r="F72" s="4">
        <v>9</v>
      </c>
      <c r="G72" s="4">
        <v>0</v>
      </c>
      <c r="H72" s="4">
        <v>3902.16</v>
      </c>
      <c r="I72" t="s">
        <v>36</v>
      </c>
      <c r="J72" s="5" t="s">
        <v>194</v>
      </c>
      <c r="K72">
        <v>5</v>
      </c>
      <c r="L72" s="3" t="s">
        <v>195</v>
      </c>
    </row>
    <row r="73" spans="1:12">
      <c r="A73" s="2">
        <v>45973</v>
      </c>
      <c r="B73" t="s">
        <v>196</v>
      </c>
      <c r="C73" s="3"/>
      <c r="D73" t="s">
        <v>17</v>
      </c>
      <c r="E73" s="4">
        <v>-7.4</v>
      </c>
      <c r="F73" s="4">
        <v>7.4</v>
      </c>
      <c r="G73" s="4">
        <v>0</v>
      </c>
      <c r="H73" s="4">
        <v>3894.76</v>
      </c>
      <c r="I73" t="s">
        <v>36</v>
      </c>
      <c r="J73" t="s">
        <v>37</v>
      </c>
      <c r="K73">
        <v>5</v>
      </c>
      <c r="L73" s="3" t="s">
        <v>197</v>
      </c>
    </row>
    <row r="74" spans="1:12">
      <c r="A74" s="2">
        <v>45973</v>
      </c>
      <c r="B74" t="s">
        <v>178</v>
      </c>
      <c r="C74" s="3"/>
      <c r="D74" t="s">
        <v>3</v>
      </c>
      <c r="E74" s="4">
        <v>-4.55</v>
      </c>
      <c r="F74" s="4">
        <v>4.55</v>
      </c>
      <c r="G74" s="4">
        <v>0</v>
      </c>
      <c r="H74" s="4">
        <v>3890.21</v>
      </c>
      <c r="I74" t="s">
        <v>36</v>
      </c>
      <c r="J74" t="s">
        <v>37</v>
      </c>
      <c r="K74">
        <v>5</v>
      </c>
      <c r="L74" s="3" t="s">
        <v>198</v>
      </c>
    </row>
    <row r="75" spans="1:12">
      <c r="A75" s="2">
        <v>45973</v>
      </c>
      <c r="B75" t="s">
        <v>98</v>
      </c>
      <c r="C75" s="3" t="s">
        <v>199</v>
      </c>
      <c r="D75" t="s">
        <v>6</v>
      </c>
      <c r="E75" s="4">
        <v>-68</v>
      </c>
      <c r="F75" s="4">
        <v>68</v>
      </c>
      <c r="G75" s="4">
        <v>0</v>
      </c>
      <c r="H75" s="4">
        <v>3822.21</v>
      </c>
      <c r="I75" t="s">
        <v>36</v>
      </c>
      <c r="J75" t="s">
        <v>37</v>
      </c>
      <c r="K75">
        <v>5</v>
      </c>
      <c r="L75" s="3" t="s">
        <v>200</v>
      </c>
    </row>
    <row r="76" spans="1:12">
      <c r="A76" s="2">
        <v>45974</v>
      </c>
      <c r="B76" t="s">
        <v>201</v>
      </c>
      <c r="C76" s="3" t="s">
        <v>202</v>
      </c>
      <c r="D76" t="s">
        <v>17</v>
      </c>
      <c r="E76" s="4">
        <v>-12.13</v>
      </c>
      <c r="F76" s="4">
        <v>12.13</v>
      </c>
      <c r="G76" s="4">
        <v>0</v>
      </c>
      <c r="H76" s="4">
        <v>3810.08</v>
      </c>
      <c r="I76" t="s">
        <v>36</v>
      </c>
      <c r="J76" t="s">
        <v>37</v>
      </c>
      <c r="K76">
        <v>5</v>
      </c>
      <c r="L76" s="3" t="s">
        <v>203</v>
      </c>
    </row>
    <row r="77" spans="1:12">
      <c r="A77" s="2">
        <v>45974</v>
      </c>
      <c r="B77" t="s">
        <v>191</v>
      </c>
      <c r="C77" s="3" t="s">
        <v>202</v>
      </c>
      <c r="D77" t="s">
        <v>3</v>
      </c>
      <c r="E77" s="4">
        <v>-4.08</v>
      </c>
      <c r="F77" s="4">
        <v>4.08</v>
      </c>
      <c r="G77" s="4">
        <v>0</v>
      </c>
      <c r="H77" s="4">
        <v>3806</v>
      </c>
      <c r="I77" t="s">
        <v>36</v>
      </c>
      <c r="J77" t="s">
        <v>37</v>
      </c>
      <c r="K77">
        <v>5</v>
      </c>
      <c r="L77" s="3" t="s">
        <v>204</v>
      </c>
    </row>
    <row r="78" spans="1:12">
      <c r="A78" s="2">
        <v>45974</v>
      </c>
      <c r="B78" t="s">
        <v>205</v>
      </c>
      <c r="C78" s="3" t="s">
        <v>202</v>
      </c>
      <c r="D78" t="s">
        <v>2</v>
      </c>
      <c r="E78" s="4">
        <v>-3.09</v>
      </c>
      <c r="F78" s="4">
        <v>3.09</v>
      </c>
      <c r="G78" s="4">
        <v>0</v>
      </c>
      <c r="H78" s="4">
        <v>3802.91</v>
      </c>
      <c r="I78" t="s">
        <v>36</v>
      </c>
      <c r="J78" t="s">
        <v>37</v>
      </c>
      <c r="K78">
        <v>5</v>
      </c>
      <c r="L78" s="3" t="s">
        <v>206</v>
      </c>
    </row>
    <row r="79" spans="1:12">
      <c r="A79" s="2">
        <v>45974</v>
      </c>
      <c r="B79" t="s">
        <v>207</v>
      </c>
      <c r="C79" s="3" t="s">
        <v>208</v>
      </c>
      <c r="D79" t="s">
        <v>2</v>
      </c>
      <c r="E79" s="4">
        <v>-2.2</v>
      </c>
      <c r="F79" s="4">
        <v>2.2</v>
      </c>
      <c r="G79" s="4">
        <v>0</v>
      </c>
      <c r="H79" s="4">
        <v>3800.71</v>
      </c>
      <c r="I79" t="s">
        <v>36</v>
      </c>
      <c r="J79" t="s">
        <v>37</v>
      </c>
      <c r="K79">
        <v>5</v>
      </c>
      <c r="L79" s="3" t="s">
        <v>209</v>
      </c>
    </row>
    <row r="80" spans="1:12">
      <c r="A80" s="2">
        <v>45974</v>
      </c>
      <c r="B80" t="s">
        <v>210</v>
      </c>
      <c r="C80" s="3" t="s">
        <v>211</v>
      </c>
      <c r="D80" t="s">
        <v>6</v>
      </c>
      <c r="E80" s="4">
        <v>-55.08</v>
      </c>
      <c r="F80" s="4">
        <v>55.08</v>
      </c>
      <c r="G80" s="4">
        <v>0</v>
      </c>
      <c r="H80" s="4">
        <v>3745.63</v>
      </c>
      <c r="I80" t="s">
        <v>36</v>
      </c>
      <c r="J80" s="5" t="s">
        <v>212</v>
      </c>
      <c r="K80">
        <v>5</v>
      </c>
      <c r="L80" s="3" t="s">
        <v>213</v>
      </c>
    </row>
    <row r="81" spans="1:12">
      <c r="A81" s="2">
        <v>45975</v>
      </c>
      <c r="B81" t="s">
        <v>214</v>
      </c>
      <c r="C81" s="3" t="s">
        <v>215</v>
      </c>
      <c r="D81" t="s">
        <v>10</v>
      </c>
      <c r="E81" s="4">
        <v>-198</v>
      </c>
      <c r="F81" s="4">
        <v>198</v>
      </c>
      <c r="G81" s="4">
        <v>0</v>
      </c>
      <c r="H81" s="4">
        <v>3547.63</v>
      </c>
      <c r="I81" t="s">
        <v>36</v>
      </c>
      <c r="J81" t="s">
        <v>37</v>
      </c>
      <c r="K81">
        <v>5</v>
      </c>
      <c r="L81" s="3" t="s">
        <v>216</v>
      </c>
    </row>
    <row r="82" spans="1:12">
      <c r="A82" s="2">
        <v>45975</v>
      </c>
      <c r="B82" t="s">
        <v>217</v>
      </c>
      <c r="C82" s="3" t="s">
        <v>218</v>
      </c>
      <c r="D82" t="s">
        <v>17</v>
      </c>
      <c r="E82" s="4">
        <v>-80.58</v>
      </c>
      <c r="F82" s="4">
        <v>80.58</v>
      </c>
      <c r="G82" s="4">
        <v>0</v>
      </c>
      <c r="H82" s="4">
        <v>3467.05</v>
      </c>
      <c r="I82" t="s">
        <v>36</v>
      </c>
      <c r="J82" t="s">
        <v>37</v>
      </c>
      <c r="K82">
        <v>5</v>
      </c>
      <c r="L82" s="3" t="s">
        <v>219</v>
      </c>
    </row>
    <row r="83" spans="1:12">
      <c r="A83" s="2">
        <v>45975</v>
      </c>
      <c r="B83" t="s">
        <v>220</v>
      </c>
      <c r="C83" s="3" t="s">
        <v>215</v>
      </c>
      <c r="D83" t="s">
        <v>3</v>
      </c>
      <c r="E83" s="4">
        <v>-8.949999999999999</v>
      </c>
      <c r="F83" s="4">
        <v>8.949999999999999</v>
      </c>
      <c r="G83" s="4">
        <v>0</v>
      </c>
      <c r="H83" s="4">
        <v>3458.1</v>
      </c>
      <c r="I83" t="s">
        <v>36</v>
      </c>
      <c r="J83" t="s">
        <v>37</v>
      </c>
      <c r="K83">
        <v>5</v>
      </c>
      <c r="L83" s="3" t="s">
        <v>221</v>
      </c>
    </row>
    <row r="84" spans="1:12">
      <c r="A84" s="2">
        <v>45975</v>
      </c>
      <c r="B84" t="s">
        <v>142</v>
      </c>
      <c r="C84" s="3"/>
      <c r="D84" t="s">
        <v>3</v>
      </c>
      <c r="E84" s="4">
        <v>-8.619999999999999</v>
      </c>
      <c r="F84" s="4">
        <v>8.619999999999999</v>
      </c>
      <c r="G84" s="4">
        <v>0</v>
      </c>
      <c r="H84" s="4">
        <v>3449.48</v>
      </c>
      <c r="I84" t="s">
        <v>36</v>
      </c>
      <c r="J84" t="s">
        <v>37</v>
      </c>
      <c r="K84">
        <v>5</v>
      </c>
      <c r="L84" s="3" t="s">
        <v>222</v>
      </c>
    </row>
    <row r="85" spans="1:12">
      <c r="A85" s="2">
        <v>45975</v>
      </c>
      <c r="B85" t="s">
        <v>223</v>
      </c>
      <c r="C85" s="3"/>
      <c r="D85" t="s">
        <v>17</v>
      </c>
      <c r="E85" s="4">
        <v>-6.62</v>
      </c>
      <c r="F85" s="4">
        <v>6.62</v>
      </c>
      <c r="G85" s="4">
        <v>0</v>
      </c>
      <c r="H85" s="4">
        <v>3442.86</v>
      </c>
      <c r="I85" t="s">
        <v>36</v>
      </c>
      <c r="J85" t="s">
        <v>37</v>
      </c>
      <c r="K85">
        <v>5</v>
      </c>
      <c r="L85" s="3" t="s">
        <v>224</v>
      </c>
    </row>
    <row r="86" spans="1:12">
      <c r="A86" s="2">
        <v>45975</v>
      </c>
      <c r="B86" t="s">
        <v>225</v>
      </c>
      <c r="C86" s="3"/>
      <c r="D86" t="s">
        <v>3</v>
      </c>
      <c r="E86" s="4">
        <v>-17.74</v>
      </c>
      <c r="F86" s="4">
        <v>17.74</v>
      </c>
      <c r="G86" s="4">
        <v>0</v>
      </c>
      <c r="H86" s="4">
        <v>3425.12</v>
      </c>
      <c r="I86" t="s">
        <v>36</v>
      </c>
      <c r="J86" t="s">
        <v>37</v>
      </c>
      <c r="K86">
        <v>5</v>
      </c>
      <c r="L86" s="3" t="s">
        <v>226</v>
      </c>
    </row>
    <row r="87" spans="1:12">
      <c r="A87" s="2">
        <v>45975</v>
      </c>
      <c r="B87" t="s">
        <v>227</v>
      </c>
      <c r="C87" s="3"/>
      <c r="D87" t="s">
        <v>17</v>
      </c>
      <c r="E87" s="4">
        <v>-79.17</v>
      </c>
      <c r="F87" s="4">
        <v>79.17</v>
      </c>
      <c r="G87" s="4">
        <v>0</v>
      </c>
      <c r="H87" s="4">
        <v>3345.95</v>
      </c>
      <c r="I87" t="s">
        <v>36</v>
      </c>
      <c r="J87" t="s">
        <v>37</v>
      </c>
      <c r="K87">
        <v>5</v>
      </c>
      <c r="L87" s="3" t="s">
        <v>228</v>
      </c>
    </row>
    <row r="88" spans="1:12">
      <c r="A88" s="2">
        <v>45976</v>
      </c>
      <c r="B88" t="s">
        <v>191</v>
      </c>
      <c r="C88" s="3" t="s">
        <v>229</v>
      </c>
      <c r="D88" t="s">
        <v>3</v>
      </c>
      <c r="E88" s="4">
        <v>-4.08</v>
      </c>
      <c r="F88" s="4">
        <v>4.08</v>
      </c>
      <c r="G88" s="4">
        <v>0</v>
      </c>
      <c r="H88" s="4">
        <v>3341.87</v>
      </c>
      <c r="I88" t="s">
        <v>36</v>
      </c>
      <c r="J88" t="s">
        <v>37</v>
      </c>
      <c r="K88">
        <v>5</v>
      </c>
      <c r="L88" s="3" t="s">
        <v>230</v>
      </c>
    </row>
    <row r="89" spans="1:12">
      <c r="A89" s="2">
        <v>45976</v>
      </c>
      <c r="B89" t="s">
        <v>231</v>
      </c>
      <c r="C89" s="3"/>
      <c r="D89" t="s">
        <v>3</v>
      </c>
      <c r="E89" s="4">
        <v>-18.5</v>
      </c>
      <c r="F89" s="4">
        <v>18.5</v>
      </c>
      <c r="G89" s="4">
        <v>0</v>
      </c>
      <c r="H89" s="4">
        <v>3323.37</v>
      </c>
      <c r="I89" t="s">
        <v>36</v>
      </c>
      <c r="J89" s="5" t="s">
        <v>232</v>
      </c>
      <c r="K89">
        <v>6</v>
      </c>
      <c r="L89" s="3" t="s">
        <v>233</v>
      </c>
    </row>
    <row r="90" spans="1:12">
      <c r="A90" s="2">
        <v>45976</v>
      </c>
      <c r="B90" t="s">
        <v>234</v>
      </c>
      <c r="C90" s="3"/>
      <c r="D90" t="s">
        <v>17</v>
      </c>
      <c r="E90" s="4">
        <v>-4.8</v>
      </c>
      <c r="F90" s="4">
        <v>4.8</v>
      </c>
      <c r="G90" s="4">
        <v>0</v>
      </c>
      <c r="H90" s="4">
        <v>3318.57</v>
      </c>
      <c r="I90" t="s">
        <v>36</v>
      </c>
      <c r="J90" t="s">
        <v>37</v>
      </c>
      <c r="K90">
        <v>6</v>
      </c>
      <c r="L90" s="3" t="s">
        <v>235</v>
      </c>
    </row>
    <row r="91" spans="1:12">
      <c r="A91" s="2">
        <v>45976</v>
      </c>
      <c r="B91" t="s">
        <v>236</v>
      </c>
      <c r="C91" s="3"/>
      <c r="D91" t="s">
        <v>17</v>
      </c>
      <c r="E91" s="4">
        <v>-7.01</v>
      </c>
      <c r="F91" s="4">
        <v>7.01</v>
      </c>
      <c r="G91" s="4">
        <v>0</v>
      </c>
      <c r="H91" s="4">
        <v>3311.56</v>
      </c>
      <c r="I91" t="s">
        <v>36</v>
      </c>
      <c r="J91" t="s">
        <v>37</v>
      </c>
      <c r="K91">
        <v>6</v>
      </c>
      <c r="L91" s="3" t="s">
        <v>237</v>
      </c>
    </row>
    <row r="92" spans="1:12">
      <c r="A92" s="2">
        <v>45976</v>
      </c>
      <c r="B92" t="s">
        <v>144</v>
      </c>
      <c r="C92" s="3"/>
      <c r="D92" t="s">
        <v>2</v>
      </c>
      <c r="E92" s="4">
        <v>-18.7</v>
      </c>
      <c r="F92" s="4">
        <v>18.7</v>
      </c>
      <c r="G92" s="4">
        <v>0</v>
      </c>
      <c r="H92" s="4">
        <v>3292.86</v>
      </c>
      <c r="I92" t="s">
        <v>36</v>
      </c>
      <c r="J92" t="s">
        <v>37</v>
      </c>
      <c r="K92">
        <v>6</v>
      </c>
      <c r="L92" s="3" t="s">
        <v>238</v>
      </c>
    </row>
    <row r="93" spans="1:12">
      <c r="A93" s="2">
        <v>45977</v>
      </c>
      <c r="B93" t="s">
        <v>239</v>
      </c>
      <c r="C93" s="3"/>
      <c r="D93" t="s">
        <v>17</v>
      </c>
      <c r="E93" s="4">
        <v>-13.15</v>
      </c>
      <c r="F93" s="4">
        <v>13.15</v>
      </c>
      <c r="G93" s="4">
        <v>0</v>
      </c>
      <c r="H93" s="4">
        <v>3279.71</v>
      </c>
      <c r="I93" t="s">
        <v>36</v>
      </c>
      <c r="J93" t="s">
        <v>37</v>
      </c>
      <c r="K93">
        <v>6</v>
      </c>
      <c r="L93" s="3" t="s">
        <v>240</v>
      </c>
    </row>
    <row r="94" spans="1:12">
      <c r="A94" s="2">
        <v>45977</v>
      </c>
      <c r="B94" t="s">
        <v>151</v>
      </c>
      <c r="C94" s="3"/>
      <c r="D94" t="s">
        <v>3</v>
      </c>
      <c r="E94" s="4">
        <v>-2.95</v>
      </c>
      <c r="F94" s="4">
        <v>2.95</v>
      </c>
      <c r="G94" s="4">
        <v>0</v>
      </c>
      <c r="H94" s="4">
        <v>3276.76</v>
      </c>
      <c r="I94" t="s">
        <v>36</v>
      </c>
      <c r="J94" t="s">
        <v>37</v>
      </c>
      <c r="K94">
        <v>6</v>
      </c>
      <c r="L94" s="3" t="s">
        <v>241</v>
      </c>
    </row>
    <row r="95" spans="1:12">
      <c r="A95" s="2">
        <v>45978</v>
      </c>
      <c r="B95" t="s">
        <v>56</v>
      </c>
      <c r="C95" s="3" t="s">
        <v>242</v>
      </c>
      <c r="D95" t="s">
        <v>4</v>
      </c>
      <c r="E95" s="4">
        <v>-70</v>
      </c>
      <c r="F95" s="4">
        <v>70</v>
      </c>
      <c r="G95" s="4">
        <v>0</v>
      </c>
      <c r="H95" s="4">
        <v>3206.76</v>
      </c>
      <c r="I95" t="s">
        <v>36</v>
      </c>
      <c r="J95" t="s">
        <v>37</v>
      </c>
      <c r="K95">
        <v>6</v>
      </c>
      <c r="L95" s="3" t="s">
        <v>243</v>
      </c>
    </row>
    <row r="96" spans="1:12">
      <c r="A96" s="2">
        <v>45979</v>
      </c>
      <c r="B96" t="s">
        <v>125</v>
      </c>
      <c r="C96" s="3" t="s">
        <v>244</v>
      </c>
      <c r="D96" t="s">
        <v>5</v>
      </c>
      <c r="E96" s="4">
        <v>-60</v>
      </c>
      <c r="F96" s="4">
        <v>60</v>
      </c>
      <c r="G96" s="4">
        <v>0</v>
      </c>
      <c r="H96" s="4">
        <v>3146.76</v>
      </c>
      <c r="I96" t="s">
        <v>36</v>
      </c>
      <c r="J96" t="s">
        <v>37</v>
      </c>
      <c r="K96">
        <v>6</v>
      </c>
      <c r="L96" s="3" t="s">
        <v>245</v>
      </c>
    </row>
    <row r="97" spans="1:12">
      <c r="A97" s="2">
        <v>45979</v>
      </c>
      <c r="B97" t="s">
        <v>181</v>
      </c>
      <c r="C97" s="3" t="s">
        <v>246</v>
      </c>
      <c r="D97" t="s">
        <v>17</v>
      </c>
      <c r="E97" s="4">
        <v>-5.5</v>
      </c>
      <c r="F97" s="4">
        <v>5.5</v>
      </c>
      <c r="G97" s="4">
        <v>0</v>
      </c>
      <c r="H97" s="4">
        <v>3141.26</v>
      </c>
      <c r="I97" t="s">
        <v>36</v>
      </c>
      <c r="J97" t="s">
        <v>37</v>
      </c>
      <c r="K97">
        <v>6</v>
      </c>
      <c r="L97" s="3" t="s">
        <v>247</v>
      </c>
    </row>
    <row r="98" spans="1:12">
      <c r="A98" s="2">
        <v>45979</v>
      </c>
      <c r="B98" t="s">
        <v>225</v>
      </c>
      <c r="C98" s="3"/>
      <c r="D98" t="s">
        <v>3</v>
      </c>
      <c r="E98" s="4">
        <v>-17.74</v>
      </c>
      <c r="F98" s="4">
        <v>17.74</v>
      </c>
      <c r="G98" s="4">
        <v>0</v>
      </c>
      <c r="H98" s="4">
        <v>3123.52</v>
      </c>
      <c r="I98" t="s">
        <v>36</v>
      </c>
      <c r="J98" t="s">
        <v>37</v>
      </c>
      <c r="K98">
        <v>6</v>
      </c>
      <c r="L98" s="3" t="s">
        <v>248</v>
      </c>
    </row>
    <row r="99" spans="1:12">
      <c r="A99" s="2">
        <v>45979</v>
      </c>
      <c r="B99" t="s">
        <v>186</v>
      </c>
      <c r="C99" s="3" t="s">
        <v>249</v>
      </c>
      <c r="D99" t="s">
        <v>5</v>
      </c>
      <c r="E99" s="4">
        <v>-6.34</v>
      </c>
      <c r="F99" s="4">
        <v>6.34</v>
      </c>
      <c r="G99" s="4">
        <v>0</v>
      </c>
      <c r="H99" s="4">
        <v>3117.18</v>
      </c>
      <c r="I99" t="s">
        <v>36</v>
      </c>
      <c r="J99" t="s">
        <v>37</v>
      </c>
      <c r="K99">
        <v>6</v>
      </c>
      <c r="L99" s="3" t="s">
        <v>250</v>
      </c>
    </row>
    <row r="100" spans="1:12">
      <c r="A100" s="2">
        <v>45979</v>
      </c>
      <c r="B100" t="s">
        <v>251</v>
      </c>
      <c r="C100" s="3" t="s">
        <v>249</v>
      </c>
      <c r="D100" t="s">
        <v>2</v>
      </c>
      <c r="E100" s="4">
        <v>-13.34</v>
      </c>
      <c r="F100" s="4">
        <v>13.34</v>
      </c>
      <c r="G100" s="4">
        <v>0</v>
      </c>
      <c r="H100" s="4">
        <v>3103.84</v>
      </c>
      <c r="I100" t="s">
        <v>36</v>
      </c>
      <c r="J100" t="s">
        <v>37</v>
      </c>
      <c r="K100">
        <v>6</v>
      </c>
      <c r="L100" s="3" t="s">
        <v>252</v>
      </c>
    </row>
    <row r="101" spans="1:12">
      <c r="A101" s="2">
        <v>45979</v>
      </c>
      <c r="B101" t="s">
        <v>253</v>
      </c>
      <c r="C101" s="3" t="s">
        <v>254</v>
      </c>
      <c r="D101" t="s">
        <v>8</v>
      </c>
      <c r="E101" s="4">
        <v>-32</v>
      </c>
      <c r="F101" s="4">
        <v>32</v>
      </c>
      <c r="G101" s="4">
        <v>0</v>
      </c>
      <c r="H101" s="4">
        <v>3071.84</v>
      </c>
      <c r="I101" t="s">
        <v>36</v>
      </c>
      <c r="J101" t="s">
        <v>37</v>
      </c>
      <c r="K101">
        <v>6</v>
      </c>
      <c r="L101" s="3" t="s">
        <v>255</v>
      </c>
    </row>
    <row r="102" spans="1:12">
      <c r="A102" s="2">
        <v>45979</v>
      </c>
      <c r="B102" t="s">
        <v>256</v>
      </c>
      <c r="C102" s="3" t="s">
        <v>249</v>
      </c>
      <c r="D102" t="s">
        <v>17</v>
      </c>
      <c r="E102" s="4">
        <v>-7.62</v>
      </c>
      <c r="F102" s="4">
        <v>7.62</v>
      </c>
      <c r="G102" s="4">
        <v>0</v>
      </c>
      <c r="H102" s="4">
        <v>3064.22</v>
      </c>
      <c r="I102" t="s">
        <v>36</v>
      </c>
      <c r="J102" t="s">
        <v>37</v>
      </c>
      <c r="K102">
        <v>6</v>
      </c>
      <c r="L102" s="3" t="s">
        <v>257</v>
      </c>
    </row>
    <row r="103" spans="1:12">
      <c r="A103" s="2">
        <v>45979</v>
      </c>
      <c r="B103" t="s">
        <v>258</v>
      </c>
      <c r="C103" s="3" t="s">
        <v>249</v>
      </c>
      <c r="D103" t="s">
        <v>2</v>
      </c>
      <c r="E103" s="4">
        <v>-19.57</v>
      </c>
      <c r="F103" s="4">
        <v>19.57</v>
      </c>
      <c r="G103" s="4">
        <v>0</v>
      </c>
      <c r="H103" s="4">
        <v>3044.65</v>
      </c>
      <c r="I103" t="s">
        <v>36</v>
      </c>
      <c r="J103" t="s">
        <v>37</v>
      </c>
      <c r="K103">
        <v>6</v>
      </c>
      <c r="L103" s="3" t="s">
        <v>259</v>
      </c>
    </row>
    <row r="104" spans="1:12">
      <c r="A104" s="2">
        <v>45979</v>
      </c>
      <c r="B104" t="s">
        <v>207</v>
      </c>
      <c r="C104" s="3" t="s">
        <v>260</v>
      </c>
      <c r="D104" t="s">
        <v>2</v>
      </c>
      <c r="E104" s="4">
        <v>-15.5</v>
      </c>
      <c r="F104" s="4">
        <v>15.5</v>
      </c>
      <c r="G104" s="4">
        <v>0</v>
      </c>
      <c r="H104" s="4">
        <v>3029.15</v>
      </c>
      <c r="I104" t="s">
        <v>36</v>
      </c>
      <c r="J104" t="s">
        <v>37</v>
      </c>
      <c r="K104">
        <v>6</v>
      </c>
      <c r="L104" s="3" t="s">
        <v>261</v>
      </c>
    </row>
    <row r="105" spans="1:12">
      <c r="A105" s="2">
        <v>45979</v>
      </c>
      <c r="B105" t="s">
        <v>262</v>
      </c>
      <c r="C105" s="3" t="s">
        <v>254</v>
      </c>
      <c r="D105" t="s">
        <v>3</v>
      </c>
      <c r="E105" s="4">
        <v>-16.54</v>
      </c>
      <c r="F105" s="4">
        <v>16.54</v>
      </c>
      <c r="G105" s="4">
        <v>0</v>
      </c>
      <c r="H105" s="4">
        <v>3012.61</v>
      </c>
      <c r="I105" t="s">
        <v>36</v>
      </c>
      <c r="J105" s="5" t="s">
        <v>263</v>
      </c>
      <c r="K105">
        <v>6</v>
      </c>
      <c r="L105" s="3" t="s">
        <v>264</v>
      </c>
    </row>
    <row r="106" spans="1:12">
      <c r="A106" s="2">
        <v>45979</v>
      </c>
      <c r="B106" t="s">
        <v>265</v>
      </c>
      <c r="C106" s="3" t="s">
        <v>266</v>
      </c>
      <c r="D106" t="s">
        <v>2</v>
      </c>
      <c r="E106" s="4">
        <v>-5.04</v>
      </c>
      <c r="F106" s="4">
        <v>5.04</v>
      </c>
      <c r="G106" s="4">
        <v>0</v>
      </c>
      <c r="H106" s="4">
        <v>3007.57</v>
      </c>
      <c r="I106" t="s">
        <v>36</v>
      </c>
      <c r="J106" t="s">
        <v>37</v>
      </c>
      <c r="K106">
        <v>6</v>
      </c>
      <c r="L106" s="3" t="s">
        <v>267</v>
      </c>
    </row>
    <row r="107" spans="1:12">
      <c r="A107" s="2">
        <v>45979</v>
      </c>
      <c r="B107" t="s">
        <v>268</v>
      </c>
      <c r="C107" s="3" t="s">
        <v>218</v>
      </c>
      <c r="D107" t="s">
        <v>3</v>
      </c>
      <c r="E107" s="4">
        <v>-9</v>
      </c>
      <c r="F107" s="4">
        <v>9</v>
      </c>
      <c r="G107" s="4">
        <v>0</v>
      </c>
      <c r="H107" s="4">
        <v>2998.57</v>
      </c>
      <c r="I107" t="s">
        <v>36</v>
      </c>
      <c r="J107" t="s">
        <v>37</v>
      </c>
      <c r="K107">
        <v>6</v>
      </c>
      <c r="L107" s="3" t="s">
        <v>269</v>
      </c>
    </row>
    <row r="108" spans="1:12">
      <c r="A108" s="2">
        <v>45979</v>
      </c>
      <c r="B108" t="s">
        <v>171</v>
      </c>
      <c r="C108" s="3" t="s">
        <v>254</v>
      </c>
      <c r="D108" t="s">
        <v>3</v>
      </c>
      <c r="E108" s="4">
        <v>-18.66</v>
      </c>
      <c r="F108" s="4">
        <v>18.66</v>
      </c>
      <c r="G108" s="4">
        <v>0</v>
      </c>
      <c r="H108" s="4">
        <v>2979.91</v>
      </c>
      <c r="I108" t="s">
        <v>36</v>
      </c>
      <c r="J108" t="s">
        <v>37</v>
      </c>
      <c r="K108">
        <v>6</v>
      </c>
      <c r="L108" s="3" t="s">
        <v>270</v>
      </c>
    </row>
    <row r="109" spans="1:12">
      <c r="A109" s="2">
        <v>45979</v>
      </c>
      <c r="B109" t="s">
        <v>271</v>
      </c>
      <c r="C109" s="3" t="s">
        <v>266</v>
      </c>
      <c r="D109" t="s">
        <v>3</v>
      </c>
      <c r="E109" s="4">
        <v>-11.8</v>
      </c>
      <c r="F109" s="4">
        <v>11.8</v>
      </c>
      <c r="G109" s="4">
        <v>0</v>
      </c>
      <c r="H109" s="4">
        <v>2968.11</v>
      </c>
      <c r="I109" t="s">
        <v>36</v>
      </c>
      <c r="J109" t="s">
        <v>37</v>
      </c>
      <c r="K109">
        <v>6</v>
      </c>
      <c r="L109" s="3" t="s">
        <v>272</v>
      </c>
    </row>
    <row r="110" spans="1:12">
      <c r="A110" s="2">
        <v>45979</v>
      </c>
      <c r="B110" t="s">
        <v>273</v>
      </c>
      <c r="C110" s="3" t="s">
        <v>266</v>
      </c>
      <c r="D110" t="s">
        <v>17</v>
      </c>
      <c r="E110" s="4">
        <v>-11.77</v>
      </c>
      <c r="F110" s="4">
        <v>11.77</v>
      </c>
      <c r="G110" s="4">
        <v>0</v>
      </c>
      <c r="H110" s="4">
        <v>2956.34</v>
      </c>
      <c r="I110" t="s">
        <v>36</v>
      </c>
      <c r="J110" t="s">
        <v>37</v>
      </c>
      <c r="K110">
        <v>6</v>
      </c>
      <c r="L110" s="3" t="s">
        <v>274</v>
      </c>
    </row>
    <row r="111" spans="1:12">
      <c r="A111" s="2">
        <v>45979</v>
      </c>
      <c r="B111" t="s">
        <v>149</v>
      </c>
      <c r="C111" s="3"/>
      <c r="D111" t="s">
        <v>3</v>
      </c>
      <c r="E111" s="4">
        <v>-6</v>
      </c>
      <c r="F111" s="4">
        <v>6</v>
      </c>
      <c r="G111" s="4">
        <v>0</v>
      </c>
      <c r="H111" s="4">
        <v>2950.34</v>
      </c>
      <c r="I111" t="s">
        <v>36</v>
      </c>
      <c r="J111" t="s">
        <v>37</v>
      </c>
      <c r="K111">
        <v>7</v>
      </c>
      <c r="L111" s="3" t="s">
        <v>275</v>
      </c>
    </row>
    <row r="112" spans="1:12">
      <c r="A112" s="2">
        <v>45979</v>
      </c>
      <c r="B112" t="s">
        <v>178</v>
      </c>
      <c r="C112" s="3"/>
      <c r="D112" t="s">
        <v>3</v>
      </c>
      <c r="E112" s="4">
        <v>-5.05</v>
      </c>
      <c r="F112" s="4">
        <v>5.05</v>
      </c>
      <c r="G112" s="4">
        <v>0</v>
      </c>
      <c r="H112" s="4">
        <v>2945.29</v>
      </c>
      <c r="I112" t="s">
        <v>36</v>
      </c>
      <c r="J112" t="s">
        <v>37</v>
      </c>
      <c r="K112">
        <v>7</v>
      </c>
      <c r="L112" s="3" t="s">
        <v>276</v>
      </c>
    </row>
    <row r="113" spans="1:12">
      <c r="A113" s="2">
        <v>45980</v>
      </c>
      <c r="B113" t="s">
        <v>277</v>
      </c>
      <c r="C113" s="3" t="s">
        <v>278</v>
      </c>
      <c r="D113" t="s">
        <v>19</v>
      </c>
      <c r="E113" s="4">
        <v>0.01</v>
      </c>
      <c r="F113" s="4">
        <v>0</v>
      </c>
      <c r="G113" s="4">
        <v>0.01</v>
      </c>
      <c r="H113" s="4">
        <v>2945.3</v>
      </c>
      <c r="I113" t="s">
        <v>36</v>
      </c>
      <c r="J113" t="s">
        <v>37</v>
      </c>
      <c r="K113">
        <v>7</v>
      </c>
      <c r="L113" s="3" t="s">
        <v>279</v>
      </c>
    </row>
    <row r="114" spans="1:12">
      <c r="A114" s="2">
        <v>45980</v>
      </c>
      <c r="B114" t="s">
        <v>186</v>
      </c>
      <c r="C114" s="3" t="s">
        <v>280</v>
      </c>
      <c r="D114" t="s">
        <v>5</v>
      </c>
      <c r="E114" s="4">
        <v>-8.06</v>
      </c>
      <c r="F114" s="4">
        <v>8.06</v>
      </c>
      <c r="G114" s="4">
        <v>0</v>
      </c>
      <c r="H114" s="4">
        <v>2937.24</v>
      </c>
      <c r="I114" t="s">
        <v>36</v>
      </c>
      <c r="J114" t="s">
        <v>37</v>
      </c>
      <c r="K114">
        <v>7</v>
      </c>
      <c r="L114" s="3" t="s">
        <v>281</v>
      </c>
    </row>
    <row r="115" spans="1:12">
      <c r="A115" s="2">
        <v>45980</v>
      </c>
      <c r="B115" t="s">
        <v>282</v>
      </c>
      <c r="C115" s="3" t="s">
        <v>280</v>
      </c>
      <c r="D115" t="s">
        <v>3</v>
      </c>
      <c r="E115" s="4">
        <v>-8.1</v>
      </c>
      <c r="F115" s="4">
        <v>8.1</v>
      </c>
      <c r="G115" s="4">
        <v>0</v>
      </c>
      <c r="H115" s="4">
        <v>2929.14</v>
      </c>
      <c r="I115" t="s">
        <v>36</v>
      </c>
      <c r="J115" t="s">
        <v>37</v>
      </c>
      <c r="K115">
        <v>7</v>
      </c>
      <c r="L115" s="3" t="s">
        <v>283</v>
      </c>
    </row>
    <row r="116" spans="1:12">
      <c r="A116" s="2">
        <v>45980</v>
      </c>
      <c r="B116" t="s">
        <v>191</v>
      </c>
      <c r="C116" s="3" t="s">
        <v>280</v>
      </c>
      <c r="D116" t="s">
        <v>3</v>
      </c>
      <c r="E116" s="4">
        <v>-4.08</v>
      </c>
      <c r="F116" s="4">
        <v>4.08</v>
      </c>
      <c r="G116" s="4">
        <v>0</v>
      </c>
      <c r="H116" s="4">
        <v>2925.06</v>
      </c>
      <c r="I116" t="s">
        <v>36</v>
      </c>
      <c r="J116" t="s">
        <v>37</v>
      </c>
      <c r="K116">
        <v>7</v>
      </c>
      <c r="L116" s="3" t="s">
        <v>284</v>
      </c>
    </row>
    <row r="117" spans="1:12">
      <c r="A117" s="2">
        <v>45980</v>
      </c>
      <c r="B117" t="s">
        <v>142</v>
      </c>
      <c r="C117" s="3"/>
      <c r="D117" t="s">
        <v>3</v>
      </c>
      <c r="E117" s="4">
        <v>-9.44</v>
      </c>
      <c r="F117" s="4">
        <v>9.44</v>
      </c>
      <c r="G117" s="4">
        <v>0</v>
      </c>
      <c r="H117" s="4">
        <v>2915.62</v>
      </c>
      <c r="I117" t="s">
        <v>36</v>
      </c>
      <c r="J117" t="s">
        <v>37</v>
      </c>
      <c r="K117">
        <v>7</v>
      </c>
      <c r="L117" s="3" t="s">
        <v>285</v>
      </c>
    </row>
    <row r="118" spans="1:12">
      <c r="A118" s="2">
        <v>45980</v>
      </c>
      <c r="B118" t="s">
        <v>286</v>
      </c>
      <c r="C118" s="3"/>
      <c r="D118" t="s">
        <v>3</v>
      </c>
      <c r="E118" s="4">
        <v>-9.65</v>
      </c>
      <c r="F118" s="4">
        <v>9.65</v>
      </c>
      <c r="G118" s="4">
        <v>0</v>
      </c>
      <c r="H118" s="4">
        <v>2905.97</v>
      </c>
      <c r="I118" t="s">
        <v>36</v>
      </c>
      <c r="J118" t="s">
        <v>37</v>
      </c>
      <c r="K118">
        <v>7</v>
      </c>
      <c r="L118" s="3" t="s">
        <v>287</v>
      </c>
    </row>
    <row r="119" spans="1:12">
      <c r="A119" s="2">
        <v>45980</v>
      </c>
      <c r="B119" t="s">
        <v>151</v>
      </c>
      <c r="C119" s="3"/>
      <c r="D119" t="s">
        <v>3</v>
      </c>
      <c r="E119" s="4">
        <v>-2.95</v>
      </c>
      <c r="F119" s="4">
        <v>2.95</v>
      </c>
      <c r="G119" s="4">
        <v>0</v>
      </c>
      <c r="H119" s="4">
        <v>2903.02</v>
      </c>
      <c r="I119" t="s">
        <v>36</v>
      </c>
      <c r="J119" t="s">
        <v>37</v>
      </c>
      <c r="K119">
        <v>7</v>
      </c>
      <c r="L119" s="3" t="s">
        <v>288</v>
      </c>
    </row>
    <row r="120" spans="1:12">
      <c r="A120" s="2">
        <v>45980</v>
      </c>
      <c r="B120" t="s">
        <v>98</v>
      </c>
      <c r="C120" s="3" t="s">
        <v>289</v>
      </c>
      <c r="D120" t="s">
        <v>6</v>
      </c>
      <c r="E120" s="4">
        <v>-68</v>
      </c>
      <c r="F120" s="4">
        <v>68</v>
      </c>
      <c r="G120" s="4">
        <v>0</v>
      </c>
      <c r="H120" s="4">
        <v>2835.02</v>
      </c>
      <c r="I120" t="s">
        <v>36</v>
      </c>
      <c r="J120" t="s">
        <v>37</v>
      </c>
      <c r="K120">
        <v>7</v>
      </c>
      <c r="L120" s="3" t="s">
        <v>290</v>
      </c>
    </row>
    <row r="121" spans="1:12">
      <c r="A121" s="2">
        <v>45981</v>
      </c>
      <c r="B121" t="s">
        <v>103</v>
      </c>
      <c r="C121" s="3" t="s">
        <v>104</v>
      </c>
      <c r="D121" t="s">
        <v>1</v>
      </c>
      <c r="E121" s="4">
        <v>-1700</v>
      </c>
      <c r="F121" s="4">
        <v>1700</v>
      </c>
      <c r="G121" s="4">
        <v>0</v>
      </c>
      <c r="H121" s="4">
        <v>1135.02</v>
      </c>
      <c r="I121" t="s">
        <v>36</v>
      </c>
      <c r="J121" t="s">
        <v>37</v>
      </c>
      <c r="K121">
        <v>7</v>
      </c>
      <c r="L121" s="3" t="s">
        <v>291</v>
      </c>
    </row>
    <row r="122" spans="1:12">
      <c r="A122" s="2">
        <v>45981</v>
      </c>
      <c r="B122" t="s">
        <v>146</v>
      </c>
      <c r="C122" s="3"/>
      <c r="D122" t="s">
        <v>17</v>
      </c>
      <c r="E122" s="4">
        <v>-4.5</v>
      </c>
      <c r="F122" s="4">
        <v>4.5</v>
      </c>
      <c r="G122" s="4">
        <v>0</v>
      </c>
      <c r="H122" s="4">
        <v>1130.52</v>
      </c>
      <c r="I122" t="s">
        <v>36</v>
      </c>
      <c r="J122" t="s">
        <v>37</v>
      </c>
      <c r="K122">
        <v>7</v>
      </c>
      <c r="L122" s="3" t="s">
        <v>292</v>
      </c>
    </row>
    <row r="123" spans="1:12">
      <c r="A123" s="2">
        <v>45982</v>
      </c>
      <c r="B123" t="s">
        <v>265</v>
      </c>
      <c r="C123" s="3" t="s">
        <v>293</v>
      </c>
      <c r="D123" t="s">
        <v>2</v>
      </c>
      <c r="E123" s="4">
        <v>-5.04</v>
      </c>
      <c r="F123" s="4">
        <v>5.04</v>
      </c>
      <c r="G123" s="4">
        <v>0</v>
      </c>
      <c r="H123" s="4">
        <v>1125.48</v>
      </c>
      <c r="I123" t="s">
        <v>36</v>
      </c>
      <c r="J123" t="s">
        <v>37</v>
      </c>
      <c r="K123">
        <v>7</v>
      </c>
      <c r="L123" s="3" t="s">
        <v>294</v>
      </c>
    </row>
    <row r="124" spans="1:12">
      <c r="A124" s="2">
        <v>45982</v>
      </c>
      <c r="B124" t="s">
        <v>295</v>
      </c>
      <c r="C124" s="3"/>
      <c r="D124" t="s">
        <v>9</v>
      </c>
      <c r="E124" s="4">
        <v>-115</v>
      </c>
      <c r="F124" s="4">
        <v>115</v>
      </c>
      <c r="G124" s="4">
        <v>0</v>
      </c>
      <c r="H124" s="4">
        <v>1010.48</v>
      </c>
      <c r="I124" t="s">
        <v>36</v>
      </c>
      <c r="J124" t="s">
        <v>37</v>
      </c>
      <c r="K124">
        <v>7</v>
      </c>
      <c r="L124" s="3" t="s">
        <v>296</v>
      </c>
    </row>
    <row r="125" spans="1:12">
      <c r="A125" s="2">
        <v>45982</v>
      </c>
      <c r="B125" t="s">
        <v>297</v>
      </c>
      <c r="C125" s="3" t="s">
        <v>298</v>
      </c>
      <c r="D125" t="s">
        <v>3</v>
      </c>
      <c r="E125" s="4">
        <v>-24</v>
      </c>
      <c r="F125" s="4">
        <v>24</v>
      </c>
      <c r="G125" s="4">
        <v>0</v>
      </c>
      <c r="H125" s="4">
        <v>986.48</v>
      </c>
      <c r="I125" t="s">
        <v>36</v>
      </c>
      <c r="J125" t="s">
        <v>37</v>
      </c>
      <c r="K125">
        <v>7</v>
      </c>
      <c r="L125" s="3" t="s">
        <v>299</v>
      </c>
    </row>
    <row r="126" spans="1:12">
      <c r="A126" s="2">
        <v>45983</v>
      </c>
      <c r="B126" t="s">
        <v>169</v>
      </c>
      <c r="C126" s="3" t="s">
        <v>300</v>
      </c>
      <c r="D126" t="s">
        <v>3</v>
      </c>
      <c r="E126" s="4">
        <v>-20.13</v>
      </c>
      <c r="F126" s="4">
        <v>20.13</v>
      </c>
      <c r="G126" s="4">
        <v>0</v>
      </c>
      <c r="H126" s="4">
        <v>966.35</v>
      </c>
      <c r="I126" t="s">
        <v>36</v>
      </c>
      <c r="J126" s="5" t="s">
        <v>301</v>
      </c>
      <c r="K126">
        <v>7</v>
      </c>
      <c r="L126" s="3" t="s">
        <v>302</v>
      </c>
    </row>
    <row r="127" spans="1:12">
      <c r="A127" s="2">
        <v>45983</v>
      </c>
      <c r="B127" t="s">
        <v>303</v>
      </c>
      <c r="C127" s="3" t="s">
        <v>304</v>
      </c>
      <c r="D127" t="s">
        <v>3</v>
      </c>
      <c r="E127" s="4">
        <v>-16.8</v>
      </c>
      <c r="F127" s="4">
        <v>16.8</v>
      </c>
      <c r="G127" s="4">
        <v>0</v>
      </c>
      <c r="H127" s="4">
        <v>949.55</v>
      </c>
      <c r="I127" t="s">
        <v>36</v>
      </c>
      <c r="J127" t="s">
        <v>37</v>
      </c>
      <c r="K127">
        <v>7</v>
      </c>
      <c r="L127" s="3" t="s">
        <v>305</v>
      </c>
    </row>
    <row r="128" spans="1:12">
      <c r="A128" s="2">
        <v>45983</v>
      </c>
      <c r="B128" t="s">
        <v>306</v>
      </c>
      <c r="C128" s="3" t="s">
        <v>300</v>
      </c>
      <c r="D128" t="s">
        <v>17</v>
      </c>
      <c r="E128" s="4">
        <v>-30.3</v>
      </c>
      <c r="F128" s="4">
        <v>30.3</v>
      </c>
      <c r="G128" s="4">
        <v>0</v>
      </c>
      <c r="H128" s="4">
        <v>919.25</v>
      </c>
      <c r="I128" t="s">
        <v>36</v>
      </c>
      <c r="J128" s="5" t="s">
        <v>307</v>
      </c>
      <c r="K128">
        <v>7</v>
      </c>
      <c r="L128" s="3" t="s">
        <v>308</v>
      </c>
    </row>
    <row r="129" spans="1:12">
      <c r="A129" s="2">
        <v>45983</v>
      </c>
      <c r="B129" t="s">
        <v>146</v>
      </c>
      <c r="C129" s="3"/>
      <c r="D129" t="s">
        <v>17</v>
      </c>
      <c r="E129" s="4">
        <v>-4.5</v>
      </c>
      <c r="F129" s="4">
        <v>4.5</v>
      </c>
      <c r="G129" s="4">
        <v>0</v>
      </c>
      <c r="H129" s="4">
        <v>914.75</v>
      </c>
      <c r="I129" t="s">
        <v>36</v>
      </c>
      <c r="J129" t="s">
        <v>37</v>
      </c>
      <c r="K129">
        <v>7</v>
      </c>
      <c r="L129" s="3" t="s">
        <v>309</v>
      </c>
    </row>
    <row r="130" spans="1:12">
      <c r="A130" s="2">
        <v>45983</v>
      </c>
      <c r="B130" t="s">
        <v>310</v>
      </c>
      <c r="C130" s="3"/>
      <c r="D130" t="s">
        <v>3</v>
      </c>
      <c r="E130" s="4">
        <v>-27.9</v>
      </c>
      <c r="F130" s="4">
        <v>27.9</v>
      </c>
      <c r="G130" s="4">
        <v>0</v>
      </c>
      <c r="H130" s="4">
        <v>886.85</v>
      </c>
      <c r="I130" t="s">
        <v>36</v>
      </c>
      <c r="J130" t="s">
        <v>37</v>
      </c>
      <c r="K130">
        <v>7</v>
      </c>
      <c r="L130" s="3" t="s">
        <v>311</v>
      </c>
    </row>
    <row r="131" spans="1:12">
      <c r="A131" s="2">
        <v>45983</v>
      </c>
      <c r="B131" t="s">
        <v>310</v>
      </c>
      <c r="C131" s="3"/>
      <c r="D131" t="s">
        <v>3</v>
      </c>
      <c r="E131" s="4">
        <v>-4</v>
      </c>
      <c r="F131" s="4">
        <v>4</v>
      </c>
      <c r="G131" s="4">
        <v>0</v>
      </c>
      <c r="H131" s="4">
        <v>882.85</v>
      </c>
      <c r="I131" t="s">
        <v>36</v>
      </c>
      <c r="J131" t="s">
        <v>37</v>
      </c>
      <c r="K131">
        <v>7</v>
      </c>
      <c r="L131" s="3" t="s">
        <v>312</v>
      </c>
    </row>
    <row r="132" spans="1:12">
      <c r="A132" s="2">
        <v>45985</v>
      </c>
      <c r="B132" t="s">
        <v>313</v>
      </c>
      <c r="C132" s="3"/>
      <c r="D132" t="s">
        <v>3</v>
      </c>
      <c r="E132" s="4">
        <v>-9.6</v>
      </c>
      <c r="F132" s="4">
        <v>9.6</v>
      </c>
      <c r="G132" s="4">
        <v>0</v>
      </c>
      <c r="H132" s="4">
        <v>873.25</v>
      </c>
      <c r="I132" t="s">
        <v>36</v>
      </c>
      <c r="J132" t="s">
        <v>37</v>
      </c>
      <c r="K132">
        <v>7</v>
      </c>
      <c r="L132" s="3" t="s">
        <v>314</v>
      </c>
    </row>
    <row r="133" spans="1:12">
      <c r="A133" s="2">
        <v>45985</v>
      </c>
      <c r="B133" t="s">
        <v>315</v>
      </c>
      <c r="C133" s="3"/>
      <c r="D133" t="s">
        <v>17</v>
      </c>
      <c r="E133" s="4">
        <v>-16.21</v>
      </c>
      <c r="F133" s="4">
        <v>16.21</v>
      </c>
      <c r="G133" s="4">
        <v>0</v>
      </c>
      <c r="H133" s="4">
        <v>857.04</v>
      </c>
      <c r="I133" t="s">
        <v>36</v>
      </c>
      <c r="J133" t="s">
        <v>37</v>
      </c>
      <c r="K133">
        <v>7</v>
      </c>
      <c r="L133" s="3" t="s">
        <v>316</v>
      </c>
    </row>
    <row r="134" spans="1:12">
      <c r="A134" s="2">
        <v>45985</v>
      </c>
      <c r="B134" t="s">
        <v>151</v>
      </c>
      <c r="C134" s="3"/>
      <c r="D134" t="s">
        <v>3</v>
      </c>
      <c r="E134" s="4">
        <v>-8</v>
      </c>
      <c r="F134" s="4">
        <v>8</v>
      </c>
      <c r="G134" s="4">
        <v>0</v>
      </c>
      <c r="H134" s="4">
        <v>849.04</v>
      </c>
      <c r="I134" t="s">
        <v>36</v>
      </c>
      <c r="J134" t="s">
        <v>37</v>
      </c>
      <c r="K134">
        <v>7</v>
      </c>
      <c r="L134" s="3" t="s">
        <v>317</v>
      </c>
    </row>
    <row r="135" spans="1:12">
      <c r="A135" s="2">
        <v>45986</v>
      </c>
      <c r="B135" t="s">
        <v>318</v>
      </c>
      <c r="C135" s="3" t="s">
        <v>319</v>
      </c>
      <c r="D135" t="s">
        <v>18</v>
      </c>
      <c r="E135" s="4">
        <v>-30</v>
      </c>
      <c r="F135" s="4">
        <v>30</v>
      </c>
      <c r="G135" s="4">
        <v>0</v>
      </c>
      <c r="H135" s="4">
        <v>819.04</v>
      </c>
      <c r="I135" t="s">
        <v>36</v>
      </c>
      <c r="J135" t="s">
        <v>37</v>
      </c>
      <c r="K135">
        <v>7</v>
      </c>
      <c r="L135" s="3" t="s">
        <v>320</v>
      </c>
    </row>
    <row r="136" spans="1:12">
      <c r="A136" s="2">
        <v>45986</v>
      </c>
      <c r="B136" t="s">
        <v>186</v>
      </c>
      <c r="C136" s="3" t="s">
        <v>321</v>
      </c>
      <c r="D136" t="s">
        <v>5</v>
      </c>
      <c r="E136" s="4">
        <v>-2.31</v>
      </c>
      <c r="F136" s="4">
        <v>2.31</v>
      </c>
      <c r="G136" s="4">
        <v>0</v>
      </c>
      <c r="H136" s="4">
        <v>816.73</v>
      </c>
      <c r="I136" t="s">
        <v>36</v>
      </c>
      <c r="J136" t="s">
        <v>37</v>
      </c>
      <c r="K136">
        <v>8</v>
      </c>
      <c r="L136" s="3" t="s">
        <v>322</v>
      </c>
    </row>
    <row r="137" spans="1:12">
      <c r="A137" s="2">
        <v>45986</v>
      </c>
      <c r="B137" t="s">
        <v>271</v>
      </c>
      <c r="C137" s="3" t="s">
        <v>321</v>
      </c>
      <c r="D137" t="s">
        <v>3</v>
      </c>
      <c r="E137" s="4">
        <v>-11.8</v>
      </c>
      <c r="F137" s="4">
        <v>11.8</v>
      </c>
      <c r="G137" s="4">
        <v>0</v>
      </c>
      <c r="H137" s="4">
        <v>804.9299999999999</v>
      </c>
      <c r="I137" t="s">
        <v>36</v>
      </c>
      <c r="J137" t="s">
        <v>37</v>
      </c>
      <c r="K137">
        <v>8</v>
      </c>
      <c r="L137" s="3" t="s">
        <v>323</v>
      </c>
    </row>
    <row r="138" spans="1:12">
      <c r="A138" s="2">
        <v>45986</v>
      </c>
      <c r="B138" t="s">
        <v>171</v>
      </c>
      <c r="C138" s="3" t="s">
        <v>321</v>
      </c>
      <c r="D138" t="s">
        <v>3</v>
      </c>
      <c r="E138" s="4">
        <v>-20.19</v>
      </c>
      <c r="F138" s="4">
        <v>20.19</v>
      </c>
      <c r="G138" s="4">
        <v>0</v>
      </c>
      <c r="H138" s="4">
        <v>784.74</v>
      </c>
      <c r="I138" t="s">
        <v>36</v>
      </c>
      <c r="J138" t="s">
        <v>37</v>
      </c>
      <c r="K138">
        <v>8</v>
      </c>
      <c r="L138" s="3" t="s">
        <v>324</v>
      </c>
    </row>
    <row r="139" spans="1:12">
      <c r="A139" s="2">
        <v>45986</v>
      </c>
      <c r="B139" t="s">
        <v>166</v>
      </c>
      <c r="C139" s="3" t="s">
        <v>325</v>
      </c>
      <c r="D139" t="s">
        <v>2</v>
      </c>
      <c r="E139" s="4">
        <v>-9</v>
      </c>
      <c r="F139" s="4">
        <v>9</v>
      </c>
      <c r="G139" s="4">
        <v>0</v>
      </c>
      <c r="H139" s="4">
        <v>775.74</v>
      </c>
      <c r="I139" t="s">
        <v>36</v>
      </c>
      <c r="J139" t="s">
        <v>37</v>
      </c>
      <c r="K139">
        <v>8</v>
      </c>
      <c r="L139" s="3" t="s">
        <v>326</v>
      </c>
    </row>
    <row r="140" spans="1:12">
      <c r="A140" s="2">
        <v>45986</v>
      </c>
      <c r="B140" t="s">
        <v>166</v>
      </c>
      <c r="C140" s="3" t="s">
        <v>325</v>
      </c>
      <c r="D140" t="s">
        <v>2</v>
      </c>
      <c r="E140" s="4">
        <v>-10.5</v>
      </c>
      <c r="F140" s="4">
        <v>10.5</v>
      </c>
      <c r="G140" s="4">
        <v>0</v>
      </c>
      <c r="H140" s="4">
        <v>765.24</v>
      </c>
      <c r="I140" t="s">
        <v>36</v>
      </c>
      <c r="J140" t="s">
        <v>37</v>
      </c>
      <c r="K140">
        <v>8</v>
      </c>
      <c r="L140" s="3" t="s">
        <v>327</v>
      </c>
    </row>
    <row r="141" spans="1:12">
      <c r="A141" s="2">
        <v>45986</v>
      </c>
      <c r="B141" t="s">
        <v>174</v>
      </c>
      <c r="C141" s="3" t="s">
        <v>325</v>
      </c>
      <c r="D141" t="s">
        <v>17</v>
      </c>
      <c r="E141" s="4">
        <v>-24</v>
      </c>
      <c r="F141" s="4">
        <v>24</v>
      </c>
      <c r="G141" s="4">
        <v>0</v>
      </c>
      <c r="H141" s="4">
        <v>741.24</v>
      </c>
      <c r="I141" t="s">
        <v>36</v>
      </c>
      <c r="J141" t="s">
        <v>37</v>
      </c>
      <c r="K141">
        <v>8</v>
      </c>
      <c r="L141" s="3" t="s">
        <v>328</v>
      </c>
    </row>
    <row r="142" spans="1:12">
      <c r="A142" s="2">
        <v>45986</v>
      </c>
      <c r="B142" t="s">
        <v>329</v>
      </c>
      <c r="C142" s="3" t="s">
        <v>325</v>
      </c>
      <c r="D142" t="s">
        <v>17</v>
      </c>
      <c r="E142" s="4">
        <v>-8.029999999999999</v>
      </c>
      <c r="F142" s="4">
        <v>8.029999999999999</v>
      </c>
      <c r="G142" s="4">
        <v>0</v>
      </c>
      <c r="H142" s="4">
        <v>733.21</v>
      </c>
      <c r="I142" t="s">
        <v>36</v>
      </c>
      <c r="J142" t="s">
        <v>37</v>
      </c>
      <c r="K142">
        <v>8</v>
      </c>
      <c r="L142" s="3" t="s">
        <v>330</v>
      </c>
    </row>
    <row r="143" spans="1:12">
      <c r="A143" s="2">
        <v>45986</v>
      </c>
      <c r="B143" t="s">
        <v>331</v>
      </c>
      <c r="C143" s="3" t="s">
        <v>332</v>
      </c>
      <c r="D143" t="s">
        <v>3</v>
      </c>
      <c r="E143" s="4">
        <v>-19.73</v>
      </c>
      <c r="F143" s="4">
        <v>19.73</v>
      </c>
      <c r="G143" s="4">
        <v>0</v>
      </c>
      <c r="H143" s="4">
        <v>713.48</v>
      </c>
      <c r="I143" t="s">
        <v>36</v>
      </c>
      <c r="J143" t="s">
        <v>37</v>
      </c>
      <c r="K143">
        <v>8</v>
      </c>
      <c r="L143" s="3" t="s">
        <v>333</v>
      </c>
    </row>
    <row r="144" spans="1:12">
      <c r="A144" s="2">
        <v>45986</v>
      </c>
      <c r="B144" t="s">
        <v>329</v>
      </c>
      <c r="C144" s="3" t="s">
        <v>332</v>
      </c>
      <c r="D144" t="s">
        <v>17</v>
      </c>
      <c r="E144" s="4">
        <v>-8.029999999999999</v>
      </c>
      <c r="F144" s="4">
        <v>8.029999999999999</v>
      </c>
      <c r="G144" s="4">
        <v>0</v>
      </c>
      <c r="H144" s="4">
        <v>705.45</v>
      </c>
      <c r="I144" t="s">
        <v>36</v>
      </c>
      <c r="J144" t="s">
        <v>37</v>
      </c>
      <c r="K144">
        <v>8</v>
      </c>
      <c r="L144" s="3" t="s">
        <v>334</v>
      </c>
    </row>
    <row r="145" spans="1:12">
      <c r="A145" s="2">
        <v>45986</v>
      </c>
      <c r="B145" t="s">
        <v>335</v>
      </c>
      <c r="C145" s="3"/>
      <c r="D145" t="s">
        <v>17</v>
      </c>
      <c r="E145" s="4">
        <v>-9.140000000000001</v>
      </c>
      <c r="F145" s="4">
        <v>9.140000000000001</v>
      </c>
      <c r="G145" s="4">
        <v>0</v>
      </c>
      <c r="H145" s="4">
        <v>696.3099999999999</v>
      </c>
      <c r="I145" t="s">
        <v>36</v>
      </c>
      <c r="J145" t="s">
        <v>37</v>
      </c>
      <c r="K145">
        <v>8</v>
      </c>
      <c r="L145" s="3" t="s">
        <v>336</v>
      </c>
    </row>
    <row r="146" spans="1:12">
      <c r="A146" s="2">
        <v>45986</v>
      </c>
      <c r="B146" t="s">
        <v>149</v>
      </c>
      <c r="C146" s="3" t="s">
        <v>337</v>
      </c>
      <c r="D146" t="s">
        <v>3</v>
      </c>
      <c r="E146" s="4">
        <v>-6</v>
      </c>
      <c r="F146" s="4">
        <v>6</v>
      </c>
      <c r="G146" s="4">
        <v>0</v>
      </c>
      <c r="H146" s="4">
        <v>690.3099999999999</v>
      </c>
      <c r="I146" t="s">
        <v>36</v>
      </c>
      <c r="J146" t="s">
        <v>37</v>
      </c>
      <c r="K146">
        <v>8</v>
      </c>
      <c r="L146" s="3" t="s">
        <v>338</v>
      </c>
    </row>
    <row r="147" spans="1:12">
      <c r="A147" s="2">
        <v>45987</v>
      </c>
      <c r="B147" t="s">
        <v>201</v>
      </c>
      <c r="C147" s="3" t="s">
        <v>339</v>
      </c>
      <c r="D147" t="s">
        <v>17</v>
      </c>
      <c r="E147" s="4">
        <v>-66.06999999999999</v>
      </c>
      <c r="F147" s="4">
        <v>66.06999999999999</v>
      </c>
      <c r="G147" s="4">
        <v>0</v>
      </c>
      <c r="H147" s="4">
        <v>624.24</v>
      </c>
      <c r="I147" t="s">
        <v>36</v>
      </c>
      <c r="J147" s="5" t="s">
        <v>340</v>
      </c>
      <c r="K147">
        <v>8</v>
      </c>
      <c r="L147" s="3" t="s">
        <v>341</v>
      </c>
    </row>
    <row r="148" spans="1:12">
      <c r="A148" s="2">
        <v>45987</v>
      </c>
      <c r="B148" t="s">
        <v>191</v>
      </c>
      <c r="C148" s="3" t="s">
        <v>342</v>
      </c>
      <c r="D148" t="s">
        <v>3</v>
      </c>
      <c r="E148" s="4">
        <v>-4.08</v>
      </c>
      <c r="F148" s="4">
        <v>4.08</v>
      </c>
      <c r="G148" s="4">
        <v>0</v>
      </c>
      <c r="H148" s="4">
        <v>620.16</v>
      </c>
      <c r="I148" t="s">
        <v>36</v>
      </c>
      <c r="J148" t="s">
        <v>37</v>
      </c>
      <c r="K148">
        <v>8</v>
      </c>
      <c r="L148" s="3" t="s">
        <v>343</v>
      </c>
    </row>
    <row r="149" spans="1:12">
      <c r="A149" s="2">
        <v>45987</v>
      </c>
      <c r="B149" t="s">
        <v>166</v>
      </c>
      <c r="C149" s="3" t="s">
        <v>321</v>
      </c>
      <c r="D149" t="s">
        <v>2</v>
      </c>
      <c r="E149" s="4">
        <v>-18.17</v>
      </c>
      <c r="F149" s="4">
        <v>18.17</v>
      </c>
      <c r="G149" s="4">
        <v>0</v>
      </c>
      <c r="H149" s="4">
        <v>601.99</v>
      </c>
      <c r="I149" t="s">
        <v>36</v>
      </c>
      <c r="J149" s="5" t="s">
        <v>344</v>
      </c>
      <c r="K149">
        <v>8</v>
      </c>
      <c r="L149" s="3" t="s">
        <v>345</v>
      </c>
    </row>
    <row r="150" spans="1:12">
      <c r="A150" s="2">
        <v>45987</v>
      </c>
      <c r="B150" t="s">
        <v>346</v>
      </c>
      <c r="C150" s="3"/>
      <c r="D150" t="s">
        <v>3</v>
      </c>
      <c r="E150" s="4">
        <v>-9</v>
      </c>
      <c r="F150" s="4">
        <v>9</v>
      </c>
      <c r="G150" s="4">
        <v>0</v>
      </c>
      <c r="H150" s="4">
        <v>592.99</v>
      </c>
      <c r="I150" t="s">
        <v>36</v>
      </c>
      <c r="J150" t="s">
        <v>37</v>
      </c>
      <c r="K150">
        <v>8</v>
      </c>
      <c r="L150" s="3" t="s">
        <v>347</v>
      </c>
    </row>
    <row r="151" spans="1:12">
      <c r="A151" s="2">
        <v>45987</v>
      </c>
      <c r="B151" t="s">
        <v>348</v>
      </c>
      <c r="C151" s="3"/>
      <c r="D151" t="s">
        <v>17</v>
      </c>
      <c r="E151" s="4">
        <v>-8</v>
      </c>
      <c r="F151" s="4">
        <v>8</v>
      </c>
      <c r="G151" s="4">
        <v>0</v>
      </c>
      <c r="H151" s="4">
        <v>584.99</v>
      </c>
      <c r="I151" t="s">
        <v>36</v>
      </c>
      <c r="J151" t="s">
        <v>37</v>
      </c>
      <c r="K151">
        <v>8</v>
      </c>
      <c r="L151" s="3" t="s">
        <v>349</v>
      </c>
    </row>
    <row r="152" spans="1:12">
      <c r="A152" s="2">
        <v>45987</v>
      </c>
      <c r="B152" t="s">
        <v>178</v>
      </c>
      <c r="C152" s="3"/>
      <c r="D152" t="s">
        <v>3</v>
      </c>
      <c r="E152" s="4">
        <v>-5.05</v>
      </c>
      <c r="F152" s="4">
        <v>5.05</v>
      </c>
      <c r="G152" s="4">
        <v>0</v>
      </c>
      <c r="H152" s="4">
        <v>579.9400000000001</v>
      </c>
      <c r="I152" t="s">
        <v>36</v>
      </c>
      <c r="J152" t="s">
        <v>37</v>
      </c>
      <c r="K152">
        <v>8</v>
      </c>
      <c r="L152" s="3" t="s">
        <v>350</v>
      </c>
    </row>
    <row r="153" spans="1:12">
      <c r="A153" s="2">
        <v>45987</v>
      </c>
      <c r="B153" t="s">
        <v>98</v>
      </c>
      <c r="C153" s="3" t="s">
        <v>351</v>
      </c>
      <c r="D153" t="s">
        <v>6</v>
      </c>
      <c r="E153" s="4">
        <v>-68</v>
      </c>
      <c r="F153" s="4">
        <v>68</v>
      </c>
      <c r="G153" s="4">
        <v>0</v>
      </c>
      <c r="H153" s="4">
        <v>511.94</v>
      </c>
      <c r="I153" t="s">
        <v>36</v>
      </c>
      <c r="J153" t="s">
        <v>37</v>
      </c>
      <c r="K153">
        <v>8</v>
      </c>
      <c r="L153" s="3" t="s">
        <v>352</v>
      </c>
    </row>
    <row r="154" spans="1:12">
      <c r="A154" s="2">
        <v>45988</v>
      </c>
      <c r="B154" t="s">
        <v>201</v>
      </c>
      <c r="C154" s="3" t="s">
        <v>353</v>
      </c>
      <c r="D154" t="s">
        <v>17</v>
      </c>
      <c r="E154" s="4">
        <v>-8.09</v>
      </c>
      <c r="F154" s="4">
        <v>8.09</v>
      </c>
      <c r="G154" s="4">
        <v>0</v>
      </c>
      <c r="H154" s="4">
        <v>503.85</v>
      </c>
      <c r="I154" t="s">
        <v>36</v>
      </c>
      <c r="J154" t="s">
        <v>37</v>
      </c>
      <c r="K154">
        <v>8</v>
      </c>
      <c r="L154" s="3" t="s">
        <v>354</v>
      </c>
    </row>
    <row r="155" spans="1:12">
      <c r="A155" s="2">
        <v>45988</v>
      </c>
      <c r="B155" t="s">
        <v>191</v>
      </c>
      <c r="C155" s="3" t="s">
        <v>353</v>
      </c>
      <c r="D155" t="s">
        <v>3</v>
      </c>
      <c r="E155" s="4">
        <v>-4.08</v>
      </c>
      <c r="F155" s="4">
        <v>4.08</v>
      </c>
      <c r="G155" s="4">
        <v>0</v>
      </c>
      <c r="H155" s="4">
        <v>499.77</v>
      </c>
      <c r="I155" t="s">
        <v>36</v>
      </c>
      <c r="J155" t="s">
        <v>37</v>
      </c>
      <c r="K155">
        <v>8</v>
      </c>
      <c r="L155" s="3" t="s">
        <v>355</v>
      </c>
    </row>
    <row r="156" spans="1:12">
      <c r="A156" s="2">
        <v>45988</v>
      </c>
      <c r="B156" t="s">
        <v>303</v>
      </c>
      <c r="C156" s="3" t="s">
        <v>353</v>
      </c>
      <c r="D156" t="s">
        <v>3</v>
      </c>
      <c r="E156" s="4">
        <v>-16.8</v>
      </c>
      <c r="F156" s="4">
        <v>16.8</v>
      </c>
      <c r="G156" s="4">
        <v>0</v>
      </c>
      <c r="H156" s="4">
        <v>482.97</v>
      </c>
      <c r="I156" t="s">
        <v>36</v>
      </c>
      <c r="J156" t="s">
        <v>37</v>
      </c>
      <c r="K156">
        <v>9</v>
      </c>
      <c r="L156" s="3" t="s">
        <v>356</v>
      </c>
    </row>
    <row r="157" spans="1:12">
      <c r="A157" s="2">
        <v>45988</v>
      </c>
      <c r="B157" t="s">
        <v>346</v>
      </c>
      <c r="C157" s="3"/>
      <c r="D157" t="s">
        <v>3</v>
      </c>
      <c r="E157" s="4">
        <v>-9</v>
      </c>
      <c r="F157" s="4">
        <v>9</v>
      </c>
      <c r="G157" s="4">
        <v>0</v>
      </c>
      <c r="H157" s="4">
        <v>473.97</v>
      </c>
      <c r="I157" t="s">
        <v>36</v>
      </c>
      <c r="J157" t="s">
        <v>37</v>
      </c>
      <c r="K157">
        <v>9</v>
      </c>
      <c r="L157" s="3" t="s">
        <v>357</v>
      </c>
    </row>
    <row r="158" spans="1:12">
      <c r="A158" s="2">
        <v>45988</v>
      </c>
      <c r="B158" t="s">
        <v>358</v>
      </c>
      <c r="C158" s="3" t="s">
        <v>359</v>
      </c>
      <c r="D158" t="s">
        <v>20</v>
      </c>
      <c r="E158" s="4">
        <v>8291.610000000001</v>
      </c>
      <c r="F158" s="4">
        <v>0</v>
      </c>
      <c r="G158" s="4">
        <v>8291.610000000001</v>
      </c>
      <c r="H158" s="4">
        <v>8765.58</v>
      </c>
      <c r="I158" t="s">
        <v>36</v>
      </c>
      <c r="J158" t="s">
        <v>37</v>
      </c>
      <c r="K158">
        <v>9</v>
      </c>
      <c r="L158" s="3" t="s">
        <v>360</v>
      </c>
    </row>
    <row r="159" spans="1:12">
      <c r="A159" s="2">
        <v>45988</v>
      </c>
      <c r="B159" t="s">
        <v>346</v>
      </c>
      <c r="C159" s="3"/>
      <c r="D159" t="s">
        <v>3</v>
      </c>
      <c r="E159" s="4">
        <v>-8</v>
      </c>
      <c r="F159" s="4">
        <v>8</v>
      </c>
      <c r="G159" s="4">
        <v>0</v>
      </c>
      <c r="H159" s="4">
        <v>8757.58</v>
      </c>
      <c r="I159" t="s">
        <v>36</v>
      </c>
      <c r="J159" t="s">
        <v>37</v>
      </c>
      <c r="K159">
        <v>9</v>
      </c>
      <c r="L159" s="3" t="s">
        <v>361</v>
      </c>
    </row>
    <row r="160" spans="1:12">
      <c r="A160" s="2">
        <v>45988</v>
      </c>
      <c r="B160" t="s">
        <v>362</v>
      </c>
      <c r="C160" s="3"/>
      <c r="D160" t="s">
        <v>8</v>
      </c>
      <c r="E160" s="4">
        <v>-59.85</v>
      </c>
      <c r="F160" s="4">
        <v>59.85</v>
      </c>
      <c r="G160" s="4">
        <v>0</v>
      </c>
      <c r="H160" s="4">
        <v>8697.73</v>
      </c>
      <c r="I160" t="s">
        <v>36</v>
      </c>
      <c r="J160" t="s">
        <v>37</v>
      </c>
      <c r="K160">
        <v>9</v>
      </c>
      <c r="L160" s="3" t="s">
        <v>363</v>
      </c>
    </row>
    <row r="161" spans="1:12">
      <c r="A161" s="2">
        <v>45988</v>
      </c>
      <c r="B161" t="s">
        <v>210</v>
      </c>
      <c r="C161" s="3" t="s">
        <v>364</v>
      </c>
      <c r="D161" t="s">
        <v>6</v>
      </c>
      <c r="E161" s="4">
        <v>-40.9</v>
      </c>
      <c r="F161" s="4">
        <v>40.9</v>
      </c>
      <c r="G161" s="4">
        <v>0</v>
      </c>
      <c r="H161" s="4">
        <v>8656.83</v>
      </c>
      <c r="I161" t="s">
        <v>36</v>
      </c>
      <c r="J161" t="s">
        <v>37</v>
      </c>
      <c r="K161">
        <v>9</v>
      </c>
      <c r="L161" s="3" t="s">
        <v>365</v>
      </c>
    </row>
    <row r="162" spans="1:12">
      <c r="A162" s="2">
        <v>45988</v>
      </c>
      <c r="B162" t="s">
        <v>366</v>
      </c>
      <c r="C162" s="3" t="s">
        <v>367</v>
      </c>
      <c r="D162" t="s">
        <v>20</v>
      </c>
      <c r="E162" s="4">
        <v>600.98</v>
      </c>
      <c r="F162" s="4">
        <v>0</v>
      </c>
      <c r="G162" s="4">
        <v>600.98</v>
      </c>
      <c r="H162" s="4">
        <v>9257.809999999999</v>
      </c>
      <c r="I162" t="s">
        <v>36</v>
      </c>
      <c r="J162" t="s">
        <v>37</v>
      </c>
      <c r="K162">
        <v>9</v>
      </c>
      <c r="L162" s="3" t="s">
        <v>368</v>
      </c>
    </row>
    <row r="163" spans="1:12">
      <c r="A163" s="2">
        <v>45988</v>
      </c>
      <c r="B163" t="s">
        <v>369</v>
      </c>
      <c r="C163" s="3" t="s">
        <v>370</v>
      </c>
      <c r="D163" t="s">
        <v>18</v>
      </c>
      <c r="E163" s="4">
        <v>-1275</v>
      </c>
      <c r="F163" s="4">
        <v>1275</v>
      </c>
      <c r="G163" s="4">
        <v>0</v>
      </c>
      <c r="H163" s="4">
        <v>7982.81</v>
      </c>
      <c r="I163" t="s">
        <v>36</v>
      </c>
      <c r="J163" t="s">
        <v>37</v>
      </c>
      <c r="K163">
        <v>9</v>
      </c>
      <c r="L163" s="3" t="s">
        <v>371</v>
      </c>
    </row>
    <row r="164" spans="1:12">
      <c r="A164" s="2">
        <v>45989</v>
      </c>
      <c r="B164" t="s">
        <v>372</v>
      </c>
      <c r="C164" s="3" t="s">
        <v>373</v>
      </c>
      <c r="D164" t="s">
        <v>3</v>
      </c>
      <c r="E164" s="4">
        <v>-8</v>
      </c>
      <c r="F164" s="4">
        <v>8</v>
      </c>
      <c r="G164" s="4">
        <v>0</v>
      </c>
      <c r="H164" s="4">
        <v>7974.81</v>
      </c>
      <c r="I164" t="s">
        <v>36</v>
      </c>
      <c r="J164" t="s">
        <v>37</v>
      </c>
      <c r="K164">
        <v>9</v>
      </c>
      <c r="L164" s="3" t="s">
        <v>374</v>
      </c>
    </row>
    <row r="165" spans="1:12">
      <c r="A165" s="2">
        <v>45989</v>
      </c>
      <c r="B165" t="s">
        <v>225</v>
      </c>
      <c r="C165" s="3"/>
      <c r="D165" t="s">
        <v>3</v>
      </c>
      <c r="E165" s="4">
        <v>-15.72</v>
      </c>
      <c r="F165" s="4">
        <v>15.72</v>
      </c>
      <c r="G165" s="4">
        <v>0</v>
      </c>
      <c r="H165" s="4">
        <v>7959.09</v>
      </c>
      <c r="I165" t="s">
        <v>36</v>
      </c>
      <c r="J165" t="s">
        <v>37</v>
      </c>
      <c r="K165">
        <v>9</v>
      </c>
      <c r="L165" s="3" t="s">
        <v>375</v>
      </c>
    </row>
    <row r="166" spans="1:12">
      <c r="A166" s="2">
        <v>45989</v>
      </c>
      <c r="B166" t="s">
        <v>376</v>
      </c>
      <c r="C166" s="3"/>
      <c r="D166" t="s">
        <v>17</v>
      </c>
      <c r="E166" s="4">
        <v>-35</v>
      </c>
      <c r="F166" s="4">
        <v>35</v>
      </c>
      <c r="G166" s="4">
        <v>0</v>
      </c>
      <c r="H166" s="4">
        <v>7924.09</v>
      </c>
      <c r="I166" t="s">
        <v>36</v>
      </c>
      <c r="J166" t="s">
        <v>37</v>
      </c>
      <c r="K166">
        <v>9</v>
      </c>
      <c r="L166" s="3" t="s">
        <v>377</v>
      </c>
    </row>
    <row r="167" spans="1:12">
      <c r="A167" s="2">
        <v>45989</v>
      </c>
      <c r="B167" t="s">
        <v>378</v>
      </c>
      <c r="C167" s="3"/>
      <c r="D167" t="s">
        <v>17</v>
      </c>
      <c r="E167" s="4">
        <v>-36.63</v>
      </c>
      <c r="F167" s="4">
        <v>36.63</v>
      </c>
      <c r="G167" s="4">
        <v>0</v>
      </c>
      <c r="H167" s="4">
        <v>7887.46</v>
      </c>
      <c r="I167" t="s">
        <v>36</v>
      </c>
      <c r="J167" t="s">
        <v>37</v>
      </c>
      <c r="K167">
        <v>9</v>
      </c>
      <c r="L167" s="3" t="s">
        <v>379</v>
      </c>
    </row>
    <row r="168" spans="1:12">
      <c r="A168" s="2">
        <v>45989</v>
      </c>
      <c r="B168" t="s">
        <v>380</v>
      </c>
      <c r="C168" s="3"/>
      <c r="D168" t="s">
        <v>17</v>
      </c>
      <c r="E168" s="4">
        <v>-90.95</v>
      </c>
      <c r="F168" s="4">
        <v>90.95</v>
      </c>
      <c r="G168" s="4">
        <v>0</v>
      </c>
      <c r="H168" s="4">
        <v>7796.51</v>
      </c>
      <c r="I168" t="s">
        <v>36</v>
      </c>
      <c r="J168" t="s">
        <v>37</v>
      </c>
      <c r="K168">
        <v>9</v>
      </c>
      <c r="L168" s="3" t="s">
        <v>381</v>
      </c>
    </row>
    <row r="169" spans="1:12">
      <c r="A169" s="2">
        <v>45990</v>
      </c>
      <c r="B169" t="s">
        <v>382</v>
      </c>
      <c r="C169" s="3" t="s">
        <v>383</v>
      </c>
      <c r="D169" t="s">
        <v>17</v>
      </c>
      <c r="E169" s="4">
        <v>-342.4</v>
      </c>
      <c r="F169" s="4">
        <v>342.4</v>
      </c>
      <c r="G169" s="4">
        <v>0</v>
      </c>
      <c r="H169" s="4">
        <v>7454.11</v>
      </c>
      <c r="I169" t="s">
        <v>36</v>
      </c>
      <c r="J169" t="s">
        <v>37</v>
      </c>
      <c r="K169">
        <v>9</v>
      </c>
      <c r="L169" s="3" t="s">
        <v>384</v>
      </c>
    </row>
    <row r="170" spans="1:12">
      <c r="A170" s="2">
        <v>45990</v>
      </c>
      <c r="B170" t="s">
        <v>385</v>
      </c>
      <c r="C170" s="3" t="s">
        <v>386</v>
      </c>
      <c r="D170" t="s">
        <v>17</v>
      </c>
      <c r="E170" s="4">
        <v>-47.49</v>
      </c>
      <c r="F170" s="4">
        <v>47.49</v>
      </c>
      <c r="G170" s="4">
        <v>0</v>
      </c>
      <c r="H170" s="4">
        <v>7406.62</v>
      </c>
      <c r="I170" t="s">
        <v>36</v>
      </c>
      <c r="J170" t="s">
        <v>37</v>
      </c>
      <c r="K170">
        <v>9</v>
      </c>
      <c r="L170" s="3" t="s">
        <v>387</v>
      </c>
    </row>
    <row r="171" spans="1:12">
      <c r="A171" s="2">
        <v>45990</v>
      </c>
      <c r="B171" t="s">
        <v>388</v>
      </c>
      <c r="C171" s="3" t="s">
        <v>389</v>
      </c>
      <c r="D171" t="s">
        <v>17</v>
      </c>
      <c r="E171" s="4">
        <v>-138.75</v>
      </c>
      <c r="F171" s="4">
        <v>138.75</v>
      </c>
      <c r="G171" s="4">
        <v>0</v>
      </c>
      <c r="H171" s="4">
        <v>7267.87</v>
      </c>
      <c r="I171" t="s">
        <v>36</v>
      </c>
      <c r="J171" t="s">
        <v>37</v>
      </c>
      <c r="K171">
        <v>9</v>
      </c>
      <c r="L171" s="3" t="s">
        <v>390</v>
      </c>
    </row>
    <row r="172" spans="1:12">
      <c r="A172" s="2">
        <v>45990</v>
      </c>
      <c r="B172" t="s">
        <v>391</v>
      </c>
      <c r="C172" s="3"/>
      <c r="D172" t="s">
        <v>8</v>
      </c>
      <c r="E172" s="4">
        <v>-29.59</v>
      </c>
      <c r="F172" s="4">
        <v>29.59</v>
      </c>
      <c r="G172" s="4">
        <v>0</v>
      </c>
      <c r="H172" s="4">
        <v>7238.28</v>
      </c>
      <c r="I172" t="s">
        <v>36</v>
      </c>
      <c r="J172" s="5" t="s">
        <v>392</v>
      </c>
      <c r="K172">
        <v>9</v>
      </c>
      <c r="L172" s="3" t="s">
        <v>393</v>
      </c>
    </row>
    <row r="173" spans="1:12">
      <c r="A173" s="2">
        <v>45990</v>
      </c>
      <c r="B173" t="s">
        <v>394</v>
      </c>
      <c r="C173" s="3"/>
      <c r="D173" t="s">
        <v>17</v>
      </c>
      <c r="E173" s="4">
        <v>-11.99</v>
      </c>
      <c r="F173" s="4">
        <v>11.99</v>
      </c>
      <c r="G173" s="4">
        <v>0</v>
      </c>
      <c r="H173" s="4">
        <v>7226.29</v>
      </c>
      <c r="I173" t="s">
        <v>36</v>
      </c>
      <c r="J173" t="s">
        <v>37</v>
      </c>
      <c r="K173">
        <v>9</v>
      </c>
      <c r="L173" s="3" t="s">
        <v>395</v>
      </c>
    </row>
    <row r="174" spans="1:12">
      <c r="A174" s="2">
        <v>45990</v>
      </c>
      <c r="B174" t="s">
        <v>142</v>
      </c>
      <c r="C174" s="3"/>
      <c r="D174" t="s">
        <v>3</v>
      </c>
      <c r="E174" s="4">
        <v>-17.76</v>
      </c>
      <c r="F174" s="4">
        <v>17.76</v>
      </c>
      <c r="G174" s="4">
        <v>0</v>
      </c>
      <c r="H174" s="4">
        <v>7208.53</v>
      </c>
      <c r="I174" t="s">
        <v>36</v>
      </c>
      <c r="J174" t="s">
        <v>37</v>
      </c>
      <c r="K174">
        <v>9</v>
      </c>
      <c r="L174" s="3" t="s">
        <v>396</v>
      </c>
    </row>
    <row r="175" spans="1:12">
      <c r="A175" s="2">
        <v>45991</v>
      </c>
      <c r="B175" t="s">
        <v>397</v>
      </c>
      <c r="C175" s="3"/>
      <c r="D175" t="s">
        <v>3</v>
      </c>
      <c r="E175" s="4">
        <v>-5.04</v>
      </c>
      <c r="F175" s="4">
        <v>5.04</v>
      </c>
      <c r="G175" s="4">
        <v>0</v>
      </c>
      <c r="H175" s="4">
        <v>7203.49</v>
      </c>
      <c r="I175" t="s">
        <v>36</v>
      </c>
      <c r="J175" t="s">
        <v>37</v>
      </c>
      <c r="K175">
        <v>9</v>
      </c>
      <c r="L175" s="3" t="s">
        <v>398</v>
      </c>
    </row>
    <row r="176" spans="1:12">
      <c r="A176" s="2">
        <v>45992</v>
      </c>
      <c r="B176" t="s">
        <v>225</v>
      </c>
      <c r="C176" s="3"/>
      <c r="D176" t="s">
        <v>3</v>
      </c>
      <c r="E176" s="4">
        <v>-5.58</v>
      </c>
      <c r="F176" s="4">
        <v>5.58</v>
      </c>
      <c r="G176" s="4">
        <v>0</v>
      </c>
      <c r="H176" s="4">
        <v>7197.91</v>
      </c>
      <c r="I176" t="s">
        <v>399</v>
      </c>
      <c r="J176" t="s">
        <v>37</v>
      </c>
      <c r="K176">
        <v>9</v>
      </c>
      <c r="L176" s="3" t="s">
        <v>400</v>
      </c>
    </row>
    <row r="177" spans="1:12">
      <c r="A177" s="2">
        <v>45992</v>
      </c>
      <c r="B177" t="s">
        <v>401</v>
      </c>
      <c r="C177" s="3" t="s">
        <v>402</v>
      </c>
      <c r="D177" t="s">
        <v>19</v>
      </c>
      <c r="E177" s="4">
        <v>10</v>
      </c>
      <c r="F177" s="4">
        <v>0</v>
      </c>
      <c r="G177" s="4">
        <v>10</v>
      </c>
      <c r="H177" s="4">
        <v>7207.91</v>
      </c>
      <c r="I177" t="s">
        <v>399</v>
      </c>
      <c r="J177" t="s">
        <v>37</v>
      </c>
      <c r="K177">
        <v>9</v>
      </c>
      <c r="L177" s="3" t="s">
        <v>403</v>
      </c>
    </row>
    <row r="178" spans="1:12">
      <c r="A178" s="2">
        <v>45992</v>
      </c>
      <c r="B178" t="s">
        <v>151</v>
      </c>
      <c r="C178" s="3"/>
      <c r="D178" t="s">
        <v>3</v>
      </c>
      <c r="E178" s="4">
        <v>-8</v>
      </c>
      <c r="F178" s="4">
        <v>8</v>
      </c>
      <c r="G178" s="4">
        <v>0</v>
      </c>
      <c r="H178" s="4">
        <v>7199.91</v>
      </c>
      <c r="I178" t="s">
        <v>399</v>
      </c>
      <c r="J178" t="s">
        <v>37</v>
      </c>
      <c r="K178">
        <v>9</v>
      </c>
      <c r="L178" s="3" t="s">
        <v>404</v>
      </c>
    </row>
    <row r="179" spans="1:12">
      <c r="A179" s="2">
        <v>45992</v>
      </c>
      <c r="B179" t="s">
        <v>59</v>
      </c>
      <c r="C179" s="3" t="s">
        <v>60</v>
      </c>
      <c r="D179" t="s">
        <v>7</v>
      </c>
      <c r="E179" s="4">
        <v>-65.76000000000001</v>
      </c>
      <c r="F179" s="4">
        <v>65.76000000000001</v>
      </c>
      <c r="G179" s="4">
        <v>0</v>
      </c>
      <c r="H179" s="4">
        <v>7134.15</v>
      </c>
      <c r="I179" t="s">
        <v>399</v>
      </c>
      <c r="J179" t="s">
        <v>37</v>
      </c>
      <c r="K179">
        <v>9</v>
      </c>
      <c r="L179" s="3" t="s">
        <v>405</v>
      </c>
    </row>
    <row r="180" spans="1:12">
      <c r="A180" s="2">
        <v>45993</v>
      </c>
      <c r="B180" t="s">
        <v>346</v>
      </c>
      <c r="C180" s="3"/>
      <c r="D180" t="s">
        <v>3</v>
      </c>
      <c r="E180" s="4">
        <v>-9</v>
      </c>
      <c r="F180" s="4">
        <v>9</v>
      </c>
      <c r="G180" s="4">
        <v>0</v>
      </c>
      <c r="H180" s="4">
        <v>7125.15</v>
      </c>
      <c r="I180" t="s">
        <v>399</v>
      </c>
      <c r="J180" t="s">
        <v>37</v>
      </c>
      <c r="K180">
        <v>9</v>
      </c>
      <c r="L180" s="3" t="s">
        <v>406</v>
      </c>
    </row>
    <row r="181" spans="1:12">
      <c r="A181" s="2">
        <v>45993</v>
      </c>
      <c r="B181" t="s">
        <v>407</v>
      </c>
      <c r="C181" s="3" t="s">
        <v>408</v>
      </c>
      <c r="D181" t="s">
        <v>17</v>
      </c>
      <c r="E181" s="4">
        <v>-56.99</v>
      </c>
      <c r="F181" s="4">
        <v>56.99</v>
      </c>
      <c r="G181" s="4">
        <v>0</v>
      </c>
      <c r="H181" s="4">
        <v>7068.16</v>
      </c>
      <c r="I181" t="s">
        <v>399</v>
      </c>
      <c r="J181" t="s">
        <v>37</v>
      </c>
      <c r="K181">
        <v>9</v>
      </c>
      <c r="L181" s="3" t="s">
        <v>409</v>
      </c>
    </row>
    <row r="182" spans="1:12">
      <c r="A182" s="2">
        <v>45993</v>
      </c>
      <c r="B182" t="s">
        <v>166</v>
      </c>
      <c r="C182" s="3" t="s">
        <v>408</v>
      </c>
      <c r="D182" t="s">
        <v>2</v>
      </c>
      <c r="E182" s="4">
        <v>-55.19</v>
      </c>
      <c r="F182" s="4">
        <v>55.19</v>
      </c>
      <c r="G182" s="4">
        <v>0</v>
      </c>
      <c r="H182" s="4">
        <v>7012.97</v>
      </c>
      <c r="I182" t="s">
        <v>399</v>
      </c>
      <c r="J182" t="s">
        <v>37</v>
      </c>
      <c r="K182">
        <v>9</v>
      </c>
      <c r="L182" s="3" t="s">
        <v>410</v>
      </c>
    </row>
    <row r="183" spans="1:12">
      <c r="A183" s="2">
        <v>45993</v>
      </c>
      <c r="B183" t="s">
        <v>303</v>
      </c>
      <c r="C183" s="3" t="s">
        <v>411</v>
      </c>
      <c r="D183" t="s">
        <v>3</v>
      </c>
      <c r="E183" s="4">
        <v>-16.8</v>
      </c>
      <c r="F183" s="4">
        <v>16.8</v>
      </c>
      <c r="G183" s="4">
        <v>0</v>
      </c>
      <c r="H183" s="4">
        <v>6996.17</v>
      </c>
      <c r="I183" t="s">
        <v>399</v>
      </c>
      <c r="J183" t="s">
        <v>37</v>
      </c>
      <c r="K183">
        <v>9</v>
      </c>
      <c r="L183" s="3" t="s">
        <v>412</v>
      </c>
    </row>
    <row r="184" spans="1:12">
      <c r="A184" s="2">
        <v>45993</v>
      </c>
      <c r="B184" t="s">
        <v>205</v>
      </c>
      <c r="C184" s="3" t="s">
        <v>411</v>
      </c>
      <c r="D184" t="s">
        <v>2</v>
      </c>
      <c r="E184" s="4">
        <v>-4.49</v>
      </c>
      <c r="F184" s="4">
        <v>4.49</v>
      </c>
      <c r="G184" s="4">
        <v>0</v>
      </c>
      <c r="H184" s="4">
        <v>6991.68</v>
      </c>
      <c r="I184" t="s">
        <v>399</v>
      </c>
      <c r="J184" t="s">
        <v>37</v>
      </c>
      <c r="K184">
        <v>10</v>
      </c>
      <c r="L184" s="3" t="s">
        <v>413</v>
      </c>
    </row>
    <row r="185" spans="1:12">
      <c r="A185" s="2">
        <v>45993</v>
      </c>
      <c r="B185" t="s">
        <v>414</v>
      </c>
      <c r="C185" s="3" t="s">
        <v>415</v>
      </c>
      <c r="D185" t="s">
        <v>5</v>
      </c>
      <c r="E185" s="4">
        <v>-6.5</v>
      </c>
      <c r="F185" s="4">
        <v>6.5</v>
      </c>
      <c r="G185" s="4">
        <v>0</v>
      </c>
      <c r="H185" s="4">
        <v>6985.18</v>
      </c>
      <c r="I185" t="s">
        <v>399</v>
      </c>
      <c r="J185" t="s">
        <v>37</v>
      </c>
      <c r="K185">
        <v>10</v>
      </c>
      <c r="L185" s="3" t="s">
        <v>416</v>
      </c>
    </row>
    <row r="186" spans="1:12">
      <c r="A186" s="2">
        <v>45993</v>
      </c>
      <c r="B186" t="s">
        <v>417</v>
      </c>
      <c r="C186" s="3" t="s">
        <v>408</v>
      </c>
      <c r="D186" t="s">
        <v>17</v>
      </c>
      <c r="E186" s="4">
        <v>-41.24</v>
      </c>
      <c r="F186" s="4">
        <v>41.24</v>
      </c>
      <c r="G186" s="4">
        <v>0</v>
      </c>
      <c r="H186" s="4">
        <v>6943.94</v>
      </c>
      <c r="I186" t="s">
        <v>399</v>
      </c>
      <c r="J186" s="5" t="s">
        <v>418</v>
      </c>
      <c r="K186">
        <v>10</v>
      </c>
      <c r="L186" s="3" t="s">
        <v>419</v>
      </c>
    </row>
    <row r="187" spans="1:12">
      <c r="A187" s="2">
        <v>45993</v>
      </c>
      <c r="B187" t="s">
        <v>420</v>
      </c>
      <c r="C187" s="3" t="s">
        <v>421</v>
      </c>
      <c r="D187" t="s">
        <v>4</v>
      </c>
      <c r="E187" s="4">
        <v>-18.1</v>
      </c>
      <c r="F187" s="4">
        <v>18.1</v>
      </c>
      <c r="G187" s="4">
        <v>0</v>
      </c>
      <c r="H187" s="4">
        <v>6925.84</v>
      </c>
      <c r="I187" t="s">
        <v>399</v>
      </c>
      <c r="J187" t="s">
        <v>37</v>
      </c>
      <c r="K187">
        <v>10</v>
      </c>
      <c r="L187" s="3" t="s">
        <v>422</v>
      </c>
    </row>
    <row r="188" spans="1:12">
      <c r="A188" s="2">
        <v>45993</v>
      </c>
      <c r="B188" t="s">
        <v>39</v>
      </c>
      <c r="C188" s="3" t="s">
        <v>423</v>
      </c>
      <c r="D188" t="s">
        <v>13</v>
      </c>
      <c r="E188" s="4">
        <v>-0.63</v>
      </c>
      <c r="F188" s="4">
        <v>0.63</v>
      </c>
      <c r="G188" s="4">
        <v>0</v>
      </c>
      <c r="H188" s="4">
        <v>6925.21</v>
      </c>
      <c r="I188" t="s">
        <v>399</v>
      </c>
      <c r="J188" t="s">
        <v>37</v>
      </c>
      <c r="K188">
        <v>10</v>
      </c>
      <c r="L188" s="3" t="s">
        <v>424</v>
      </c>
    </row>
    <row r="189" spans="1:12">
      <c r="A189" s="2">
        <v>45993</v>
      </c>
      <c r="B189" t="s">
        <v>207</v>
      </c>
      <c r="C189" s="3" t="s">
        <v>408</v>
      </c>
      <c r="D189" t="s">
        <v>2</v>
      </c>
      <c r="E189" s="4">
        <v>-3</v>
      </c>
      <c r="F189" s="4">
        <v>3</v>
      </c>
      <c r="G189" s="4">
        <v>0</v>
      </c>
      <c r="H189" s="4">
        <v>6922.21</v>
      </c>
      <c r="I189" t="s">
        <v>399</v>
      </c>
      <c r="J189" t="s">
        <v>37</v>
      </c>
      <c r="K189">
        <v>10</v>
      </c>
      <c r="L189" s="3" t="s">
        <v>425</v>
      </c>
    </row>
    <row r="190" spans="1:12">
      <c r="A190" s="2">
        <v>45993</v>
      </c>
      <c r="B190" t="s">
        <v>186</v>
      </c>
      <c r="C190" s="3" t="s">
        <v>426</v>
      </c>
      <c r="D190" t="s">
        <v>5</v>
      </c>
      <c r="E190" s="4">
        <v>-5.77</v>
      </c>
      <c r="F190" s="4">
        <v>5.77</v>
      </c>
      <c r="G190" s="4">
        <v>0</v>
      </c>
      <c r="H190" s="4">
        <v>6916.44</v>
      </c>
      <c r="I190" t="s">
        <v>399</v>
      </c>
      <c r="J190" t="s">
        <v>37</v>
      </c>
      <c r="K190">
        <v>10</v>
      </c>
      <c r="L190" s="3" t="s">
        <v>427</v>
      </c>
    </row>
    <row r="191" spans="1:12">
      <c r="A191" s="2">
        <v>45993</v>
      </c>
      <c r="B191" t="s">
        <v>428</v>
      </c>
      <c r="C191" s="3" t="s">
        <v>426</v>
      </c>
      <c r="D191" t="s">
        <v>17</v>
      </c>
      <c r="E191" s="4">
        <v>-25</v>
      </c>
      <c r="F191" s="4">
        <v>25</v>
      </c>
      <c r="G191" s="4">
        <v>0</v>
      </c>
      <c r="H191" s="4">
        <v>6891.44</v>
      </c>
      <c r="I191" t="s">
        <v>399</v>
      </c>
      <c r="J191" t="s">
        <v>37</v>
      </c>
      <c r="K191">
        <v>10</v>
      </c>
      <c r="L191" s="3" t="s">
        <v>429</v>
      </c>
    </row>
    <row r="192" spans="1:12">
      <c r="A192" s="2">
        <v>45993</v>
      </c>
      <c r="B192" t="s">
        <v>430</v>
      </c>
      <c r="C192" s="3" t="s">
        <v>426</v>
      </c>
      <c r="D192" t="s">
        <v>17</v>
      </c>
      <c r="E192" s="4">
        <v>-8.92</v>
      </c>
      <c r="F192" s="4">
        <v>8.92</v>
      </c>
      <c r="G192" s="4">
        <v>0</v>
      </c>
      <c r="H192" s="4">
        <v>6882.52</v>
      </c>
      <c r="I192" t="s">
        <v>399</v>
      </c>
      <c r="J192" t="s">
        <v>37</v>
      </c>
      <c r="K192">
        <v>10</v>
      </c>
      <c r="L192" s="3" t="s">
        <v>431</v>
      </c>
    </row>
    <row r="193" spans="1:12">
      <c r="A193" s="2">
        <v>45993</v>
      </c>
      <c r="B193" t="s">
        <v>432</v>
      </c>
      <c r="C193" s="3"/>
      <c r="D193" t="s">
        <v>17</v>
      </c>
      <c r="E193" s="4">
        <v>-19.28</v>
      </c>
      <c r="F193" s="4">
        <v>19.28</v>
      </c>
      <c r="G193" s="4">
        <v>0</v>
      </c>
      <c r="H193" s="4">
        <v>6863.24</v>
      </c>
      <c r="I193" t="s">
        <v>399</v>
      </c>
      <c r="J193" t="s">
        <v>37</v>
      </c>
      <c r="K193">
        <v>10</v>
      </c>
      <c r="L193" s="3" t="s">
        <v>433</v>
      </c>
    </row>
    <row r="194" spans="1:12">
      <c r="A194" s="2">
        <v>45994</v>
      </c>
      <c r="B194" t="s">
        <v>191</v>
      </c>
      <c r="C194" s="3" t="s">
        <v>434</v>
      </c>
      <c r="D194" t="s">
        <v>3</v>
      </c>
      <c r="E194" s="4">
        <v>-4.08</v>
      </c>
      <c r="F194" s="4">
        <v>4.08</v>
      </c>
      <c r="G194" s="4">
        <v>0</v>
      </c>
      <c r="H194" s="4">
        <v>6859.16</v>
      </c>
      <c r="I194" t="s">
        <v>399</v>
      </c>
      <c r="J194" t="s">
        <v>37</v>
      </c>
      <c r="K194">
        <v>10</v>
      </c>
      <c r="L194" s="3" t="s">
        <v>435</v>
      </c>
    </row>
    <row r="195" spans="1:12">
      <c r="A195" s="2">
        <v>45994</v>
      </c>
      <c r="B195" t="s">
        <v>436</v>
      </c>
      <c r="C195" s="3" t="s">
        <v>408</v>
      </c>
      <c r="D195" t="s">
        <v>3</v>
      </c>
      <c r="E195" s="4">
        <v>-12.18</v>
      </c>
      <c r="F195" s="4">
        <v>12.18</v>
      </c>
      <c r="G195" s="4">
        <v>0</v>
      </c>
      <c r="H195" s="4">
        <v>6846.98</v>
      </c>
      <c r="I195" t="s">
        <v>399</v>
      </c>
      <c r="J195" t="s">
        <v>37</v>
      </c>
      <c r="K195">
        <v>10</v>
      </c>
      <c r="L195" s="3" t="s">
        <v>437</v>
      </c>
    </row>
    <row r="196" spans="1:12">
      <c r="A196" s="2">
        <v>45994</v>
      </c>
      <c r="B196" t="s">
        <v>438</v>
      </c>
      <c r="C196" s="3" t="s">
        <v>439</v>
      </c>
      <c r="D196" t="s">
        <v>17</v>
      </c>
      <c r="E196" s="4">
        <v>-15.72</v>
      </c>
      <c r="F196" s="4">
        <v>15.72</v>
      </c>
      <c r="G196" s="4">
        <v>0</v>
      </c>
      <c r="H196" s="4">
        <v>6831.26</v>
      </c>
      <c r="I196" t="s">
        <v>399</v>
      </c>
      <c r="J196" t="s">
        <v>37</v>
      </c>
      <c r="K196">
        <v>10</v>
      </c>
      <c r="L196" s="3" t="s">
        <v>440</v>
      </c>
    </row>
    <row r="197" spans="1:12">
      <c r="A197" s="2">
        <v>45994</v>
      </c>
      <c r="B197" t="s">
        <v>346</v>
      </c>
      <c r="C197" s="3"/>
      <c r="D197" t="s">
        <v>3</v>
      </c>
      <c r="E197" s="4">
        <v>-5</v>
      </c>
      <c r="F197" s="4">
        <v>5</v>
      </c>
      <c r="G197" s="4">
        <v>0</v>
      </c>
      <c r="H197" s="4">
        <v>6826.26</v>
      </c>
      <c r="I197" t="s">
        <v>399</v>
      </c>
      <c r="J197" t="s">
        <v>37</v>
      </c>
      <c r="K197">
        <v>10</v>
      </c>
      <c r="L197" s="3" t="s">
        <v>441</v>
      </c>
    </row>
    <row r="198" spans="1:12">
      <c r="A198" s="2">
        <v>45994</v>
      </c>
      <c r="B198" t="s">
        <v>178</v>
      </c>
      <c r="C198" s="3"/>
      <c r="D198" t="s">
        <v>3</v>
      </c>
      <c r="E198" s="4">
        <v>-5.05</v>
      </c>
      <c r="F198" s="4">
        <v>5.05</v>
      </c>
      <c r="G198" s="4">
        <v>0</v>
      </c>
      <c r="H198" s="4">
        <v>6821.21</v>
      </c>
      <c r="I198" t="s">
        <v>399</v>
      </c>
      <c r="J198" t="s">
        <v>37</v>
      </c>
      <c r="K198">
        <v>10</v>
      </c>
      <c r="L198" s="3" t="s">
        <v>442</v>
      </c>
    </row>
    <row r="199" spans="1:12">
      <c r="A199" s="2">
        <v>45994</v>
      </c>
      <c r="B199" t="s">
        <v>98</v>
      </c>
      <c r="C199" s="3" t="s">
        <v>443</v>
      </c>
      <c r="D199" t="s">
        <v>6</v>
      </c>
      <c r="E199" s="4">
        <v>-68</v>
      </c>
      <c r="F199" s="4">
        <v>68</v>
      </c>
      <c r="G199" s="4">
        <v>0</v>
      </c>
      <c r="H199" s="4">
        <v>6753.21</v>
      </c>
      <c r="I199" t="s">
        <v>399</v>
      </c>
      <c r="J199" t="s">
        <v>37</v>
      </c>
      <c r="K199">
        <v>10</v>
      </c>
      <c r="L199" s="3" t="s">
        <v>444</v>
      </c>
    </row>
    <row r="200" spans="1:12">
      <c r="A200" s="2">
        <v>45995</v>
      </c>
      <c r="B200" t="s">
        <v>103</v>
      </c>
      <c r="C200" s="3" t="s">
        <v>104</v>
      </c>
      <c r="D200" t="s">
        <v>1</v>
      </c>
      <c r="E200" s="4">
        <v>-1700</v>
      </c>
      <c r="F200" s="4">
        <v>1700</v>
      </c>
      <c r="G200" s="4">
        <v>0</v>
      </c>
      <c r="H200" s="4">
        <v>5053.21</v>
      </c>
      <c r="I200" t="s">
        <v>399</v>
      </c>
      <c r="J200" t="s">
        <v>37</v>
      </c>
      <c r="K200">
        <v>10</v>
      </c>
      <c r="L200" s="3" t="s">
        <v>445</v>
      </c>
    </row>
    <row r="201" spans="1:12">
      <c r="A201" s="2">
        <v>45995</v>
      </c>
      <c r="B201" t="s">
        <v>446</v>
      </c>
      <c r="C201" s="3" t="s">
        <v>447</v>
      </c>
      <c r="D201" t="s">
        <v>3</v>
      </c>
      <c r="E201" s="4">
        <v>-18.83</v>
      </c>
      <c r="F201" s="4">
        <v>18.83</v>
      </c>
      <c r="G201" s="4">
        <v>0</v>
      </c>
      <c r="H201" s="4">
        <v>5034.38</v>
      </c>
      <c r="I201" t="s">
        <v>399</v>
      </c>
      <c r="J201" t="s">
        <v>37</v>
      </c>
      <c r="K201">
        <v>10</v>
      </c>
      <c r="L201" s="3" t="s">
        <v>448</v>
      </c>
    </row>
  </sheetData>
  <dataValidations count="1">
    <dataValidation type="list" allowBlank="1" showInputMessage="1" showErrorMessage="1" sqref="D2:D201">
      <formula1>Lists!$A$2:$A$23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7" width="24.7109375" customWidth="1"/>
  </cols>
  <sheetData>
    <row r="1" spans="1:7">
      <c r="A1" s="1" t="s">
        <v>30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</row>
    <row r="2" spans="1:7">
      <c r="A2" t="s">
        <v>36</v>
      </c>
      <c r="B2" s="4">
        <f>SUMIFS(Transactions!$G$2:$G$201,Transactions!$I$2:$I$201,$A2,Transactions!$D$2:$D$201,"Income - Recurring Direct Credit")</f>
        <v>0</v>
      </c>
      <c r="C2" s="4">
        <f>SUMIFS(Transactions!$G$2:$G$201,Transactions!$I$2:$I$201,$A2,Transactions!$D$2:$D$201,"Income - Refund/Reimbursement")+SUMIFS(Transactions!$G$2:$G$201,Transactions!$I$2:$I$201,$A2,Transactions!$D$2:$D$201,"Income - Other Credit")</f>
        <v>0</v>
      </c>
      <c r="D2" s="4">
        <f>SUMIFS(Transactions!$G$2:$G$201,Transactions!$I$2:$I$201,$A2,Transactions!$D$2:$D$201,"Transfer In")</f>
        <v>0</v>
      </c>
      <c r="E2" s="4">
        <f>SUMIFS(Transactions!$F$2:$F$201,Transactions!$I$2:$I$201,$A2)-SUMIFS(Transactions!$F$2:$F$201,Transactions!$I$2:$I$201,$A2,Transactions!$D$2:$D$201,"Transfer Out")</f>
        <v>0</v>
      </c>
      <c r="F2" s="4">
        <f>SUMIFS(Transactions!$F$2:$F$201,Transactions!$I$2:$I$201,$A2,Transactions!$D$2:$D$201,"Transfer Out")</f>
        <v>0</v>
      </c>
      <c r="G2" s="4">
        <f>B2+C2+D2-E2-F2</f>
        <v>0</v>
      </c>
    </row>
    <row r="3" spans="1:7">
      <c r="A3" t="s">
        <v>399</v>
      </c>
      <c r="B3" s="4">
        <f>SUMIFS(Transactions!$G$2:$G$201,Transactions!$I$2:$I$201,$A3,Transactions!$D$2:$D$201,"Income - Recurring Direct Credit")</f>
        <v>0</v>
      </c>
      <c r="C3" s="4">
        <f>SUMIFS(Transactions!$G$2:$G$201,Transactions!$I$2:$I$201,$A3,Transactions!$D$2:$D$201,"Income - Refund/Reimbursement")+SUMIFS(Transactions!$G$2:$G$201,Transactions!$I$2:$I$201,$A3,Transactions!$D$2:$D$201,"Income - Other Credit")</f>
        <v>0</v>
      </c>
      <c r="D3" s="4">
        <f>SUMIFS(Transactions!$G$2:$G$201,Transactions!$I$2:$I$201,$A3,Transactions!$D$2:$D$201,"Transfer In")</f>
        <v>0</v>
      </c>
      <c r="E3" s="4">
        <f>SUMIFS(Transactions!$F$2:$F$201,Transactions!$I$2:$I$201,$A3)-SUMIFS(Transactions!$F$2:$F$201,Transactions!$I$2:$I$201,$A3,Transactions!$D$2:$D$201,"Transfer Out")</f>
        <v>0</v>
      </c>
      <c r="F3" s="4">
        <f>SUMIFS(Transactions!$F$2:$F$201,Transactions!$I$2:$I$201,$A3,Transactions!$D$2:$D$201,"Transfer Out")</f>
        <v>0</v>
      </c>
      <c r="G3" s="4">
        <f>B3+C3+D3-E3-F3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5" width="15.7109375" customWidth="1"/>
    <col min="6" max="6" width="50.7109375" customWidth="1"/>
  </cols>
  <sheetData>
    <row r="1" spans="1:9">
      <c r="A1" s="6" t="s">
        <v>455</v>
      </c>
      <c r="B1" s="6"/>
      <c r="C1" s="6"/>
      <c r="D1" s="6"/>
      <c r="E1" s="6"/>
      <c r="F1" s="6"/>
      <c r="G1" s="6"/>
      <c r="H1" s="6"/>
      <c r="I1" s="6"/>
    </row>
    <row r="2" spans="1:9">
      <c r="A2" s="7" t="s">
        <v>456</v>
      </c>
      <c r="B2" s="8">
        <f>MEDIAN('Monthly Summary'!B2)</f>
        <v>0</v>
      </c>
    </row>
    <row r="4" spans="1:9">
      <c r="A4" s="1" t="s">
        <v>0</v>
      </c>
      <c r="B4" s="1" t="s">
        <v>36</v>
      </c>
      <c r="C4" s="1" t="s">
        <v>457</v>
      </c>
      <c r="D4" s="1" t="s">
        <v>458</v>
      </c>
      <c r="E4" s="1" t="s">
        <v>459</v>
      </c>
      <c r="F4" s="1" t="s">
        <v>460</v>
      </c>
    </row>
    <row r="5" spans="1:9">
      <c r="A5" t="s">
        <v>1</v>
      </c>
      <c r="B5" s="4">
        <f>SUMIFS(Transactions!$F$2:$F$201,Transactions!$I$2:$I$201,"2025-11",Transactions!$D$2:$D$201,$A5)</f>
        <v>0</v>
      </c>
      <c r="C5" s="4">
        <f>AVERAGE(B5:B5)</f>
        <v>0</v>
      </c>
      <c r="D5" s="4">
        <v>3683</v>
      </c>
      <c r="E5" s="4">
        <f>D5-C5</f>
        <v>0</v>
      </c>
      <c r="F5" s="3" t="s">
        <v>461</v>
      </c>
    </row>
    <row r="6" spans="1:9">
      <c r="A6" t="s">
        <v>2</v>
      </c>
      <c r="B6" s="4">
        <f>SUMIFS(Transactions!$F$2:$F$201,Transactions!$I$2:$I$201,"2025-11",Transactions!$D$2:$D$201,$A6)</f>
        <v>0</v>
      </c>
      <c r="C6" s="4">
        <f>AVERAGE(B6:B6)</f>
        <v>0</v>
      </c>
      <c r="D6" s="4">
        <v>550</v>
      </c>
      <c r="E6" s="4">
        <f>D6-C6</f>
        <v>0</v>
      </c>
      <c r="F6" s="3" t="s">
        <v>462</v>
      </c>
    </row>
    <row r="7" spans="1:9">
      <c r="A7" t="s">
        <v>3</v>
      </c>
      <c r="B7" s="4">
        <f>SUMIFS(Transactions!$F$2:$F$201,Transactions!$I$2:$I$201,"2025-11",Transactions!$D$2:$D$201,$A7)</f>
        <v>0</v>
      </c>
      <c r="C7" s="4">
        <f>AVERAGE(B7:B7)</f>
        <v>0</v>
      </c>
      <c r="D7" s="4">
        <v>650</v>
      </c>
      <c r="E7" s="4">
        <f>D7-C7</f>
        <v>0</v>
      </c>
      <c r="F7" s="3" t="s">
        <v>463</v>
      </c>
    </row>
    <row r="8" spans="1:9">
      <c r="A8" t="s">
        <v>4</v>
      </c>
      <c r="B8" s="4">
        <f>SUMIFS(Transactions!$F$2:$F$201,Transactions!$I$2:$I$201,"2025-11",Transactions!$D$2:$D$201,$A8)</f>
        <v>0</v>
      </c>
      <c r="C8" s="4">
        <f>AVERAGE(B8:B8)</f>
        <v>0</v>
      </c>
      <c r="D8" s="4">
        <v>350</v>
      </c>
      <c r="E8" s="4">
        <f>D8-C8</f>
        <v>0</v>
      </c>
      <c r="F8" s="3" t="s">
        <v>464</v>
      </c>
    </row>
    <row r="9" spans="1:9">
      <c r="A9" t="s">
        <v>5</v>
      </c>
      <c r="B9" s="4">
        <f>SUMIFS(Transactions!$F$2:$F$201,Transactions!$I$2:$I$201,"2025-11",Transactions!$D$2:$D$201,$A9)</f>
        <v>0</v>
      </c>
      <c r="C9" s="4">
        <f>AVERAGE(B9:B9)</f>
        <v>0</v>
      </c>
      <c r="D9" s="4">
        <v>450</v>
      </c>
      <c r="E9" s="4">
        <f>D9-C9</f>
        <v>0</v>
      </c>
      <c r="F9" s="3" t="s">
        <v>465</v>
      </c>
    </row>
    <row r="10" spans="1:9">
      <c r="A10" t="s">
        <v>6</v>
      </c>
      <c r="B10" s="4">
        <f>SUMIFS(Transactions!$F$2:$F$201,Transactions!$I$2:$I$201,"2025-11",Transactions!$D$2:$D$201,$A10)</f>
        <v>0</v>
      </c>
      <c r="C10" s="4">
        <f>AVERAGE(B10:B10)</f>
        <v>0</v>
      </c>
      <c r="D10" s="4">
        <v>354</v>
      </c>
      <c r="E10" s="4">
        <f>D10-C10</f>
        <v>0</v>
      </c>
      <c r="F10" s="3" t="s">
        <v>466</v>
      </c>
    </row>
    <row r="11" spans="1:9">
      <c r="A11" t="s">
        <v>7</v>
      </c>
      <c r="B11" s="4">
        <f>SUMIFS(Transactions!$F$2:$F$201,Transactions!$I$2:$I$201,"2025-11",Transactions!$D$2:$D$201,$A11)</f>
        <v>0</v>
      </c>
      <c r="C11" s="4">
        <f>AVERAGE(B11:B11)</f>
        <v>0</v>
      </c>
      <c r="D11" s="4">
        <v>400</v>
      </c>
      <c r="E11" s="4">
        <f>D11-C11</f>
        <v>0</v>
      </c>
      <c r="F11" s="3" t="s">
        <v>467</v>
      </c>
    </row>
    <row r="12" spans="1:9">
      <c r="A12" t="s">
        <v>8</v>
      </c>
      <c r="B12" s="4">
        <f>SUMIFS(Transactions!$F$2:$F$201,Transactions!$I$2:$I$201,"2025-11",Transactions!$D$2:$D$201,$A12)</f>
        <v>0</v>
      </c>
      <c r="C12" s="4">
        <f>AVERAGE(B12:B12)</f>
        <v>0</v>
      </c>
      <c r="D12" s="4">
        <v>600</v>
      </c>
      <c r="E12" s="4">
        <f>D12-C12</f>
        <v>0</v>
      </c>
      <c r="F12" s="3" t="s">
        <v>468</v>
      </c>
    </row>
    <row r="13" spans="1:9">
      <c r="A13" t="s">
        <v>9</v>
      </c>
      <c r="B13" s="4">
        <f>SUMIFS(Transactions!$F$2:$F$201,Transactions!$I$2:$I$201,"2025-11",Transactions!$D$2:$D$201,$A13)</f>
        <v>0</v>
      </c>
      <c r="C13" s="4">
        <f>AVERAGE(B13:B13)</f>
        <v>0</v>
      </c>
      <c r="D13" s="4">
        <v>150</v>
      </c>
      <c r="E13" s="4">
        <f>D13-C13</f>
        <v>0</v>
      </c>
      <c r="F13" s="3" t="s">
        <v>469</v>
      </c>
    </row>
    <row r="14" spans="1:9">
      <c r="A14" t="s">
        <v>10</v>
      </c>
      <c r="B14" s="4">
        <f>SUMIFS(Transactions!$F$2:$F$201,Transactions!$I$2:$I$201,"2025-11",Transactions!$D$2:$D$201,$A14)</f>
        <v>0</v>
      </c>
      <c r="C14" s="4">
        <f>AVERAGE(B14:B14)</f>
        <v>0</v>
      </c>
      <c r="D14" s="4">
        <v>250</v>
      </c>
      <c r="E14" s="4">
        <f>D14-C14</f>
        <v>0</v>
      </c>
      <c r="F14" s="3" t="s">
        <v>470</v>
      </c>
    </row>
    <row r="15" spans="1:9">
      <c r="A15" t="s">
        <v>11</v>
      </c>
      <c r="B15" s="4">
        <f>SUMIFS(Transactions!$F$2:$F$201,Transactions!$I$2:$I$201,"2025-11",Transactions!$D$2:$D$201,$A15)</f>
        <v>0</v>
      </c>
      <c r="C15" s="4">
        <f>AVERAGE(B15:B15)</f>
        <v>0</v>
      </c>
      <c r="D15" s="4">
        <v>100</v>
      </c>
      <c r="E15" s="4">
        <f>D15-C15</f>
        <v>0</v>
      </c>
      <c r="F15" s="3" t="s">
        <v>471</v>
      </c>
    </row>
    <row r="16" spans="1:9">
      <c r="A16" t="s">
        <v>12</v>
      </c>
      <c r="B16" s="4">
        <f>SUMIFS(Transactions!$F$2:$F$201,Transactions!$I$2:$I$201,"2025-11",Transactions!$D$2:$D$201,$A16)</f>
        <v>0</v>
      </c>
      <c r="C16" s="4">
        <f>AVERAGE(B16:B16)</f>
        <v>0</v>
      </c>
      <c r="D16" s="4">
        <v>15</v>
      </c>
      <c r="E16" s="4">
        <f>D16-C16</f>
        <v>0</v>
      </c>
      <c r="F16" s="3" t="s">
        <v>472</v>
      </c>
    </row>
    <row r="17" spans="1:6">
      <c r="A17" t="s">
        <v>13</v>
      </c>
      <c r="B17" s="4">
        <f>SUMIFS(Transactions!$F$2:$F$201,Transactions!$I$2:$I$201,"2025-11",Transactions!$D$2:$D$201,$A17)</f>
        <v>0</v>
      </c>
      <c r="C17" s="4">
        <f>AVERAGE(B17:B17)</f>
        <v>0</v>
      </c>
      <c r="D17" s="4">
        <v>20</v>
      </c>
      <c r="E17" s="4">
        <f>D17-C17</f>
        <v>0</v>
      </c>
      <c r="F17" s="3" t="s">
        <v>473</v>
      </c>
    </row>
    <row r="18" spans="1:6">
      <c r="A18" t="s">
        <v>14</v>
      </c>
      <c r="B18" s="4">
        <f>SUMIFS(Transactions!$F$2:$F$201,Transactions!$I$2:$I$201,"2025-11",Transactions!$D$2:$D$201,$A18)</f>
        <v>0</v>
      </c>
      <c r="C18" s="4">
        <f>AVERAGE(B18:B18)</f>
        <v>0</v>
      </c>
      <c r="D18" s="4">
        <v>50</v>
      </c>
      <c r="E18" s="4">
        <f>D18-C18</f>
        <v>0</v>
      </c>
      <c r="F18" s="3" t="s">
        <v>474</v>
      </c>
    </row>
    <row r="19" spans="1:6">
      <c r="A19" t="s">
        <v>15</v>
      </c>
      <c r="B19" s="4">
        <f>SUMIFS(Transactions!$F$2:$F$201,Transactions!$I$2:$I$201,"2025-11",Transactions!$D$2:$D$201,$A19)</f>
        <v>0</v>
      </c>
      <c r="C19" s="4">
        <f>AVERAGE(B19:B19)</f>
        <v>0</v>
      </c>
      <c r="D19" s="4">
        <v>400</v>
      </c>
      <c r="E19" s="4">
        <f>D19-C19</f>
        <v>0</v>
      </c>
      <c r="F19" s="3" t="s">
        <v>475</v>
      </c>
    </row>
    <row r="20" spans="1:6">
      <c r="A20" t="s">
        <v>16</v>
      </c>
      <c r="B20" s="4">
        <f>SUMIFS(Transactions!$F$2:$F$201,Transactions!$I$2:$I$201,"2025-11",Transactions!$D$2:$D$201,$A20)</f>
        <v>0</v>
      </c>
      <c r="C20" s="4">
        <f>AVERAGE(B20:B20)</f>
        <v>0</v>
      </c>
      <c r="D20" s="4">
        <v>0</v>
      </c>
      <c r="E20" s="4">
        <f>D20-C20</f>
        <v>0</v>
      </c>
      <c r="F20" s="3" t="s">
        <v>476</v>
      </c>
    </row>
    <row r="21" spans="1:6">
      <c r="A21" t="s">
        <v>17</v>
      </c>
      <c r="B21" s="4">
        <f>SUMIFS(Transactions!$F$2:$F$201,Transactions!$I$2:$I$201,"2025-11",Transactions!$D$2:$D$201,$A21)</f>
        <v>0</v>
      </c>
      <c r="C21" s="4">
        <f>AVERAGE(B21:B21)</f>
        <v>0</v>
      </c>
      <c r="D21" s="4">
        <v>250</v>
      </c>
      <c r="E21" s="4">
        <f>D21-C21</f>
        <v>0</v>
      </c>
      <c r="F21" s="3" t="s">
        <v>477</v>
      </c>
    </row>
    <row r="22" spans="1:6">
      <c r="A22" s="9" t="s">
        <v>478</v>
      </c>
      <c r="B22" s="9">
        <f>SUM(B5:B21)</f>
        <v>0</v>
      </c>
      <c r="C22" s="9">
        <f>SUM(C5:C21)</f>
        <v>0</v>
      </c>
      <c r="D22" s="9">
        <f>SUM(D5:D21)</f>
        <v>0</v>
      </c>
      <c r="E22" s="9">
        <f>SUM(E5:E21)</f>
        <v>0</v>
      </c>
    </row>
    <row r="25" spans="1:6">
      <c r="A25" s="10" t="s">
        <v>479</v>
      </c>
    </row>
    <row r="26" spans="1:6">
      <c r="A26" t="s">
        <v>480</v>
      </c>
      <c r="B26" s="4">
        <f>$B$2</f>
        <v>0</v>
      </c>
    </row>
    <row r="27" spans="1:6">
      <c r="A27" t="s">
        <v>481</v>
      </c>
      <c r="B27" s="4">
        <f>D22</f>
        <v>0</v>
      </c>
    </row>
    <row r="28" spans="1:6">
      <c r="A28" t="s">
        <v>482</v>
      </c>
      <c r="B28" s="4">
        <f>B26-B27</f>
        <v>0</v>
      </c>
    </row>
    <row r="29" spans="1:6">
      <c r="A29" t="s">
        <v>483</v>
      </c>
      <c r="B29" s="11">
        <f>IFERROR(B28/B26,0)</f>
        <v>0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6.7109375" customWidth="1"/>
    <col min="3" max="3" width="28.7109375" customWidth="1"/>
    <col min="4" max="4" width="16.7109375" customWidth="1"/>
    <col min="5" max="5" width="48.7109375" customWidth="1"/>
    <col min="6" max="6" width="8.7109375" customWidth="1"/>
    <col min="7" max="7" width="34.7109375" customWidth="1"/>
  </cols>
  <sheetData>
    <row r="1" spans="1:7">
      <c r="A1" s="1" t="s">
        <v>23</v>
      </c>
      <c r="B1" s="1" t="s">
        <v>24</v>
      </c>
      <c r="C1" s="1" t="s">
        <v>0</v>
      </c>
      <c r="D1" s="1" t="s">
        <v>484</v>
      </c>
      <c r="E1" s="1" t="s">
        <v>31</v>
      </c>
      <c r="F1" s="1" t="s">
        <v>485</v>
      </c>
      <c r="G1" s="1" t="s">
        <v>486</v>
      </c>
    </row>
    <row r="2" spans="1:7">
      <c r="A2" s="2">
        <v>45962</v>
      </c>
      <c r="B2" t="s">
        <v>34</v>
      </c>
      <c r="C2" t="s">
        <v>17</v>
      </c>
      <c r="D2" s="4">
        <v>-35.16</v>
      </c>
      <c r="E2" t="s">
        <v>37</v>
      </c>
      <c r="F2">
        <v>1</v>
      </c>
      <c r="G2" s="12" t="s">
        <v>487</v>
      </c>
    </row>
    <row r="3" spans="1:7">
      <c r="A3" s="2">
        <v>45962</v>
      </c>
      <c r="B3" t="s">
        <v>42</v>
      </c>
      <c r="C3" t="s">
        <v>17</v>
      </c>
      <c r="D3" s="4">
        <v>-20</v>
      </c>
      <c r="E3" t="s">
        <v>37</v>
      </c>
      <c r="F3">
        <v>1</v>
      </c>
      <c r="G3" s="12" t="s">
        <v>487</v>
      </c>
    </row>
    <row r="4" spans="1:7">
      <c r="A4" s="2">
        <v>45962</v>
      </c>
      <c r="B4" t="s">
        <v>39</v>
      </c>
      <c r="C4" t="s">
        <v>13</v>
      </c>
      <c r="D4" s="4">
        <v>-18.64</v>
      </c>
      <c r="E4" s="5" t="s">
        <v>48</v>
      </c>
      <c r="F4">
        <v>1</v>
      </c>
      <c r="G4" s="5" t="s">
        <v>488</v>
      </c>
    </row>
    <row r="5" spans="1:7">
      <c r="A5" s="2">
        <v>45962</v>
      </c>
      <c r="B5" t="s">
        <v>50</v>
      </c>
      <c r="C5" t="s">
        <v>17</v>
      </c>
      <c r="D5" s="4">
        <v>-6.09</v>
      </c>
      <c r="E5" t="s">
        <v>37</v>
      </c>
      <c r="F5">
        <v>1</v>
      </c>
      <c r="G5" s="12" t="s">
        <v>487</v>
      </c>
    </row>
    <row r="6" spans="1:7">
      <c r="A6" s="2">
        <v>45965</v>
      </c>
      <c r="B6" t="s">
        <v>62</v>
      </c>
      <c r="C6" t="s">
        <v>17</v>
      </c>
      <c r="D6" s="4">
        <v>-4.21</v>
      </c>
      <c r="E6" t="s">
        <v>37</v>
      </c>
      <c r="F6">
        <v>2</v>
      </c>
      <c r="G6" s="12" t="s">
        <v>487</v>
      </c>
    </row>
    <row r="7" spans="1:7">
      <c r="A7" s="2">
        <v>45965</v>
      </c>
      <c r="B7" t="s">
        <v>67</v>
      </c>
      <c r="C7" t="s">
        <v>17</v>
      </c>
      <c r="D7" s="4">
        <v>-144.88</v>
      </c>
      <c r="E7" t="s">
        <v>37</v>
      </c>
      <c r="F7">
        <v>2</v>
      </c>
      <c r="G7" s="12" t="s">
        <v>487</v>
      </c>
    </row>
    <row r="8" spans="1:7">
      <c r="A8" s="2">
        <v>45965</v>
      </c>
      <c r="B8" t="s">
        <v>39</v>
      </c>
      <c r="C8" t="s">
        <v>13</v>
      </c>
      <c r="D8" s="4">
        <v>-32.01</v>
      </c>
      <c r="E8" s="5" t="s">
        <v>76</v>
      </c>
      <c r="F8">
        <v>2</v>
      </c>
      <c r="G8" s="5" t="s">
        <v>488</v>
      </c>
    </row>
    <row r="9" spans="1:7">
      <c r="A9" s="2">
        <v>45965</v>
      </c>
      <c r="B9" t="s">
        <v>39</v>
      </c>
      <c r="C9" t="s">
        <v>13</v>
      </c>
      <c r="D9" s="4">
        <v>-11.36</v>
      </c>
      <c r="E9" s="5" t="s">
        <v>79</v>
      </c>
      <c r="F9">
        <v>2</v>
      </c>
      <c r="G9" s="5" t="s">
        <v>488</v>
      </c>
    </row>
    <row r="10" spans="1:7">
      <c r="A10" s="2">
        <v>45965</v>
      </c>
      <c r="B10" t="s">
        <v>81</v>
      </c>
      <c r="C10" t="s">
        <v>17</v>
      </c>
      <c r="D10" s="4">
        <v>-7.64</v>
      </c>
      <c r="E10" t="s">
        <v>37</v>
      </c>
      <c r="F10">
        <v>2</v>
      </c>
      <c r="G10" s="12" t="s">
        <v>487</v>
      </c>
    </row>
    <row r="11" spans="1:7">
      <c r="A11" s="2">
        <v>45966</v>
      </c>
      <c r="B11" t="s">
        <v>85</v>
      </c>
      <c r="C11" t="s">
        <v>17</v>
      </c>
      <c r="D11" s="4">
        <v>-15.31</v>
      </c>
      <c r="E11" t="s">
        <v>37</v>
      </c>
      <c r="F11">
        <v>2</v>
      </c>
      <c r="G11" s="12" t="s">
        <v>487</v>
      </c>
    </row>
    <row r="12" spans="1:7">
      <c r="A12" s="2">
        <v>45966</v>
      </c>
      <c r="B12" t="s">
        <v>90</v>
      </c>
      <c r="C12" t="s">
        <v>17</v>
      </c>
      <c r="D12" s="4">
        <v>-159.35</v>
      </c>
      <c r="E12" t="s">
        <v>37</v>
      </c>
      <c r="F12">
        <v>3</v>
      </c>
      <c r="G12" s="12" t="s">
        <v>487</v>
      </c>
    </row>
    <row r="13" spans="1:7">
      <c r="A13" s="2">
        <v>45966</v>
      </c>
      <c r="B13" t="s">
        <v>94</v>
      </c>
      <c r="C13" t="s">
        <v>17</v>
      </c>
      <c r="D13" s="4">
        <v>-14.16</v>
      </c>
      <c r="E13" t="s">
        <v>37</v>
      </c>
      <c r="F13">
        <v>3</v>
      </c>
      <c r="G13" s="12" t="s">
        <v>487</v>
      </c>
    </row>
    <row r="14" spans="1:7">
      <c r="A14" s="2">
        <v>45967</v>
      </c>
      <c r="B14" t="s">
        <v>106</v>
      </c>
      <c r="C14" t="s">
        <v>17</v>
      </c>
      <c r="D14" s="4">
        <v>-56.62</v>
      </c>
      <c r="E14" t="s">
        <v>37</v>
      </c>
      <c r="F14">
        <v>3</v>
      </c>
      <c r="G14" s="12" t="s">
        <v>487</v>
      </c>
    </row>
    <row r="15" spans="1:7">
      <c r="A15" s="2">
        <v>45967</v>
      </c>
      <c r="B15" t="s">
        <v>115</v>
      </c>
      <c r="C15" t="s">
        <v>17</v>
      </c>
      <c r="D15" s="4">
        <v>-13.29</v>
      </c>
      <c r="E15" t="s">
        <v>37</v>
      </c>
      <c r="F15">
        <v>3</v>
      </c>
      <c r="G15" s="12" t="s">
        <v>487</v>
      </c>
    </row>
    <row r="16" spans="1:7">
      <c r="A16" s="2">
        <v>45968</v>
      </c>
      <c r="B16" t="s">
        <v>122</v>
      </c>
      <c r="C16" t="s">
        <v>17</v>
      </c>
      <c r="D16" s="4">
        <v>-13.13</v>
      </c>
      <c r="E16" s="5" t="s">
        <v>123</v>
      </c>
      <c r="F16">
        <v>3</v>
      </c>
      <c r="G16" s="12" t="s">
        <v>489</v>
      </c>
    </row>
    <row r="17" spans="1:7">
      <c r="A17" s="2">
        <v>45969</v>
      </c>
      <c r="B17" t="s">
        <v>81</v>
      </c>
      <c r="C17" t="s">
        <v>17</v>
      </c>
      <c r="D17" s="4">
        <v>-6.18</v>
      </c>
      <c r="E17" t="s">
        <v>37</v>
      </c>
      <c r="F17">
        <v>3</v>
      </c>
      <c r="G17" s="12" t="s">
        <v>487</v>
      </c>
    </row>
    <row r="18" spans="1:7">
      <c r="A18" s="2">
        <v>45969</v>
      </c>
      <c r="B18" t="s">
        <v>134</v>
      </c>
      <c r="C18" t="s">
        <v>17</v>
      </c>
      <c r="D18" s="4">
        <v>-8.970000000000001</v>
      </c>
      <c r="E18" t="s">
        <v>37</v>
      </c>
      <c r="F18">
        <v>3</v>
      </c>
      <c r="G18" s="12" t="s">
        <v>487</v>
      </c>
    </row>
    <row r="19" spans="1:7">
      <c r="A19" s="2">
        <v>45969</v>
      </c>
      <c r="B19" t="s">
        <v>138</v>
      </c>
      <c r="C19" t="s">
        <v>17</v>
      </c>
      <c r="D19" s="4">
        <v>-8.98</v>
      </c>
      <c r="E19" t="s">
        <v>37</v>
      </c>
      <c r="F19">
        <v>4</v>
      </c>
      <c r="G19" s="12" t="s">
        <v>487</v>
      </c>
    </row>
    <row r="20" spans="1:7">
      <c r="A20" s="2">
        <v>45970</v>
      </c>
      <c r="B20" t="s">
        <v>146</v>
      </c>
      <c r="C20" t="s">
        <v>17</v>
      </c>
      <c r="D20" s="4">
        <v>-4.5</v>
      </c>
      <c r="E20" t="s">
        <v>37</v>
      </c>
      <c r="F20">
        <v>4</v>
      </c>
      <c r="G20" s="12" t="s">
        <v>487</v>
      </c>
    </row>
    <row r="21" spans="1:7">
      <c r="A21" s="2">
        <v>45972</v>
      </c>
      <c r="B21" t="s">
        <v>160</v>
      </c>
      <c r="C21" t="s">
        <v>17</v>
      </c>
      <c r="D21" s="4">
        <v>-43.2</v>
      </c>
      <c r="E21" t="s">
        <v>37</v>
      </c>
      <c r="F21">
        <v>4</v>
      </c>
      <c r="G21" s="12" t="s">
        <v>487</v>
      </c>
    </row>
    <row r="22" spans="1:7">
      <c r="A22" s="2">
        <v>45972</v>
      </c>
      <c r="B22" t="s">
        <v>174</v>
      </c>
      <c r="C22" t="s">
        <v>17</v>
      </c>
      <c r="D22" s="4">
        <v>-258.58</v>
      </c>
      <c r="E22" t="s">
        <v>37</v>
      </c>
      <c r="F22">
        <v>4</v>
      </c>
      <c r="G22" s="12" t="s">
        <v>487</v>
      </c>
    </row>
    <row r="23" spans="1:7">
      <c r="A23" s="2">
        <v>45972</v>
      </c>
      <c r="B23" t="s">
        <v>176</v>
      </c>
      <c r="C23" t="s">
        <v>17</v>
      </c>
      <c r="D23" s="4">
        <v>-17.88</v>
      </c>
      <c r="E23" t="s">
        <v>37</v>
      </c>
      <c r="F23">
        <v>4</v>
      </c>
      <c r="G23" s="12" t="s">
        <v>487</v>
      </c>
    </row>
    <row r="24" spans="1:7">
      <c r="A24" s="2">
        <v>45973</v>
      </c>
      <c r="B24" t="s">
        <v>181</v>
      </c>
      <c r="C24" t="s">
        <v>17</v>
      </c>
      <c r="D24" s="4">
        <v>-7</v>
      </c>
      <c r="E24" t="s">
        <v>37</v>
      </c>
      <c r="F24">
        <v>4</v>
      </c>
      <c r="G24" s="12" t="s">
        <v>487</v>
      </c>
    </row>
    <row r="25" spans="1:7">
      <c r="A25" s="2">
        <v>45973</v>
      </c>
      <c r="B25" t="s">
        <v>189</v>
      </c>
      <c r="C25" t="s">
        <v>17</v>
      </c>
      <c r="D25" s="4">
        <v>-7.31</v>
      </c>
      <c r="E25" t="s">
        <v>37</v>
      </c>
      <c r="F25">
        <v>5</v>
      </c>
      <c r="G25" s="12" t="s">
        <v>487</v>
      </c>
    </row>
    <row r="26" spans="1:7">
      <c r="A26" s="2">
        <v>45973</v>
      </c>
      <c r="B26" t="s">
        <v>146</v>
      </c>
      <c r="C26" t="s">
        <v>17</v>
      </c>
      <c r="D26" s="4">
        <v>-9</v>
      </c>
      <c r="E26" s="5" t="s">
        <v>194</v>
      </c>
      <c r="F26">
        <v>5</v>
      </c>
      <c r="G26" s="12" t="s">
        <v>489</v>
      </c>
    </row>
    <row r="27" spans="1:7">
      <c r="A27" s="2">
        <v>45973</v>
      </c>
      <c r="B27" t="s">
        <v>196</v>
      </c>
      <c r="C27" t="s">
        <v>17</v>
      </c>
      <c r="D27" s="4">
        <v>-7.4</v>
      </c>
      <c r="E27" t="s">
        <v>37</v>
      </c>
      <c r="F27">
        <v>5</v>
      </c>
      <c r="G27" s="12" t="s">
        <v>487</v>
      </c>
    </row>
    <row r="28" spans="1:7">
      <c r="A28" s="2">
        <v>45974</v>
      </c>
      <c r="B28" t="s">
        <v>201</v>
      </c>
      <c r="C28" t="s">
        <v>17</v>
      </c>
      <c r="D28" s="4">
        <v>-12.13</v>
      </c>
      <c r="E28" t="s">
        <v>37</v>
      </c>
      <c r="F28">
        <v>5</v>
      </c>
      <c r="G28" s="12" t="s">
        <v>487</v>
      </c>
    </row>
    <row r="29" spans="1:7">
      <c r="A29" s="2">
        <v>45974</v>
      </c>
      <c r="B29" t="s">
        <v>210</v>
      </c>
      <c r="C29" t="s">
        <v>6</v>
      </c>
      <c r="D29" s="4">
        <v>-55.08</v>
      </c>
      <c r="E29" s="5" t="s">
        <v>212</v>
      </c>
      <c r="F29">
        <v>5</v>
      </c>
      <c r="G29" s="5" t="s">
        <v>488</v>
      </c>
    </row>
    <row r="30" spans="1:7">
      <c r="A30" s="2">
        <v>45975</v>
      </c>
      <c r="B30" t="s">
        <v>217</v>
      </c>
      <c r="C30" t="s">
        <v>17</v>
      </c>
      <c r="D30" s="4">
        <v>-80.58</v>
      </c>
      <c r="E30" t="s">
        <v>37</v>
      </c>
      <c r="F30">
        <v>5</v>
      </c>
      <c r="G30" s="12" t="s">
        <v>487</v>
      </c>
    </row>
    <row r="31" spans="1:7">
      <c r="A31" s="2">
        <v>45975</v>
      </c>
      <c r="B31" t="s">
        <v>223</v>
      </c>
      <c r="C31" t="s">
        <v>17</v>
      </c>
      <c r="D31" s="4">
        <v>-6.62</v>
      </c>
      <c r="E31" t="s">
        <v>37</v>
      </c>
      <c r="F31">
        <v>5</v>
      </c>
      <c r="G31" s="12" t="s">
        <v>487</v>
      </c>
    </row>
    <row r="32" spans="1:7">
      <c r="A32" s="2">
        <v>45975</v>
      </c>
      <c r="B32" t="s">
        <v>227</v>
      </c>
      <c r="C32" t="s">
        <v>17</v>
      </c>
      <c r="D32" s="4">
        <v>-79.17</v>
      </c>
      <c r="E32" t="s">
        <v>37</v>
      </c>
      <c r="F32">
        <v>5</v>
      </c>
      <c r="G32" s="12" t="s">
        <v>487</v>
      </c>
    </row>
    <row r="33" spans="1:7">
      <c r="A33" s="2">
        <v>45976</v>
      </c>
      <c r="B33" t="s">
        <v>231</v>
      </c>
      <c r="C33" t="s">
        <v>3</v>
      </c>
      <c r="D33" s="4">
        <v>-18.5</v>
      </c>
      <c r="E33" s="5" t="s">
        <v>232</v>
      </c>
      <c r="F33">
        <v>6</v>
      </c>
      <c r="G33" s="5" t="s">
        <v>488</v>
      </c>
    </row>
    <row r="34" spans="1:7">
      <c r="A34" s="2">
        <v>45976</v>
      </c>
      <c r="B34" t="s">
        <v>234</v>
      </c>
      <c r="C34" t="s">
        <v>17</v>
      </c>
      <c r="D34" s="4">
        <v>-4.8</v>
      </c>
      <c r="E34" t="s">
        <v>37</v>
      </c>
      <c r="F34">
        <v>6</v>
      </c>
      <c r="G34" s="12" t="s">
        <v>487</v>
      </c>
    </row>
    <row r="35" spans="1:7">
      <c r="A35" s="2">
        <v>45976</v>
      </c>
      <c r="B35" t="s">
        <v>236</v>
      </c>
      <c r="C35" t="s">
        <v>17</v>
      </c>
      <c r="D35" s="4">
        <v>-7.01</v>
      </c>
      <c r="E35" t="s">
        <v>37</v>
      </c>
      <c r="F35">
        <v>6</v>
      </c>
      <c r="G35" s="12" t="s">
        <v>487</v>
      </c>
    </row>
    <row r="36" spans="1:7">
      <c r="A36" s="2">
        <v>45977</v>
      </c>
      <c r="B36" t="s">
        <v>239</v>
      </c>
      <c r="C36" t="s">
        <v>17</v>
      </c>
      <c r="D36" s="4">
        <v>-13.15</v>
      </c>
      <c r="E36" t="s">
        <v>37</v>
      </c>
      <c r="F36">
        <v>6</v>
      </c>
      <c r="G36" s="12" t="s">
        <v>487</v>
      </c>
    </row>
    <row r="37" spans="1:7">
      <c r="A37" s="2">
        <v>45979</v>
      </c>
      <c r="B37" t="s">
        <v>181</v>
      </c>
      <c r="C37" t="s">
        <v>17</v>
      </c>
      <c r="D37" s="4">
        <v>-5.5</v>
      </c>
      <c r="E37" t="s">
        <v>37</v>
      </c>
      <c r="F37">
        <v>6</v>
      </c>
      <c r="G37" s="12" t="s">
        <v>487</v>
      </c>
    </row>
    <row r="38" spans="1:7">
      <c r="A38" s="2">
        <v>45979</v>
      </c>
      <c r="B38" t="s">
        <v>256</v>
      </c>
      <c r="C38" t="s">
        <v>17</v>
      </c>
      <c r="D38" s="4">
        <v>-7.62</v>
      </c>
      <c r="E38" t="s">
        <v>37</v>
      </c>
      <c r="F38">
        <v>6</v>
      </c>
      <c r="G38" s="12" t="s">
        <v>487</v>
      </c>
    </row>
    <row r="39" spans="1:7">
      <c r="A39" s="2">
        <v>45979</v>
      </c>
      <c r="B39" t="s">
        <v>262</v>
      </c>
      <c r="C39" t="s">
        <v>3</v>
      </c>
      <c r="D39" s="4">
        <v>-16.54</v>
      </c>
      <c r="E39" s="5" t="s">
        <v>263</v>
      </c>
      <c r="F39">
        <v>6</v>
      </c>
      <c r="G39" s="5" t="s">
        <v>488</v>
      </c>
    </row>
    <row r="40" spans="1:7">
      <c r="A40" s="2">
        <v>45979</v>
      </c>
      <c r="B40" t="s">
        <v>273</v>
      </c>
      <c r="C40" t="s">
        <v>17</v>
      </c>
      <c r="D40" s="4">
        <v>-11.77</v>
      </c>
      <c r="E40" t="s">
        <v>37</v>
      </c>
      <c r="F40">
        <v>6</v>
      </c>
      <c r="G40" s="12" t="s">
        <v>487</v>
      </c>
    </row>
    <row r="41" spans="1:7">
      <c r="A41" s="2">
        <v>45981</v>
      </c>
      <c r="B41" t="s">
        <v>146</v>
      </c>
      <c r="C41" t="s">
        <v>17</v>
      </c>
      <c r="D41" s="4">
        <v>-4.5</v>
      </c>
      <c r="E41" t="s">
        <v>37</v>
      </c>
      <c r="F41">
        <v>7</v>
      </c>
      <c r="G41" s="12" t="s">
        <v>487</v>
      </c>
    </row>
    <row r="42" spans="1:7">
      <c r="A42" s="2">
        <v>45983</v>
      </c>
      <c r="B42" t="s">
        <v>169</v>
      </c>
      <c r="C42" t="s">
        <v>3</v>
      </c>
      <c r="D42" s="4">
        <v>-20.13</v>
      </c>
      <c r="E42" s="5" t="s">
        <v>301</v>
      </c>
      <c r="F42">
        <v>7</v>
      </c>
      <c r="G42" s="5" t="s">
        <v>488</v>
      </c>
    </row>
    <row r="43" spans="1:7">
      <c r="A43" s="2">
        <v>45983</v>
      </c>
      <c r="B43" t="s">
        <v>306</v>
      </c>
      <c r="C43" t="s">
        <v>17</v>
      </c>
      <c r="D43" s="4">
        <v>-30.3</v>
      </c>
      <c r="E43" s="5" t="s">
        <v>307</v>
      </c>
      <c r="F43">
        <v>7</v>
      </c>
      <c r="G43" s="12" t="s">
        <v>489</v>
      </c>
    </row>
    <row r="44" spans="1:7">
      <c r="A44" s="2">
        <v>45983</v>
      </c>
      <c r="B44" t="s">
        <v>146</v>
      </c>
      <c r="C44" t="s">
        <v>17</v>
      </c>
      <c r="D44" s="4">
        <v>-4.5</v>
      </c>
      <c r="E44" t="s">
        <v>37</v>
      </c>
      <c r="F44">
        <v>7</v>
      </c>
      <c r="G44" s="12" t="s">
        <v>487</v>
      </c>
    </row>
    <row r="45" spans="1:7">
      <c r="A45" s="2">
        <v>45985</v>
      </c>
      <c r="B45" t="s">
        <v>315</v>
      </c>
      <c r="C45" t="s">
        <v>17</v>
      </c>
      <c r="D45" s="4">
        <v>-16.21</v>
      </c>
      <c r="E45" t="s">
        <v>37</v>
      </c>
      <c r="F45">
        <v>7</v>
      </c>
      <c r="G45" s="12" t="s">
        <v>487</v>
      </c>
    </row>
    <row r="46" spans="1:7">
      <c r="A46" s="2">
        <v>45986</v>
      </c>
      <c r="B46" t="s">
        <v>174</v>
      </c>
      <c r="C46" t="s">
        <v>17</v>
      </c>
      <c r="D46" s="4">
        <v>-24</v>
      </c>
      <c r="E46" t="s">
        <v>37</v>
      </c>
      <c r="F46">
        <v>8</v>
      </c>
      <c r="G46" s="12" t="s">
        <v>487</v>
      </c>
    </row>
    <row r="47" spans="1:7">
      <c r="A47" s="2">
        <v>45986</v>
      </c>
      <c r="B47" t="s">
        <v>329</v>
      </c>
      <c r="C47" t="s">
        <v>17</v>
      </c>
      <c r="D47" s="4">
        <v>-8.029999999999999</v>
      </c>
      <c r="E47" t="s">
        <v>37</v>
      </c>
      <c r="F47">
        <v>8</v>
      </c>
      <c r="G47" s="12" t="s">
        <v>487</v>
      </c>
    </row>
    <row r="48" spans="1:7">
      <c r="A48" s="2">
        <v>45986</v>
      </c>
      <c r="B48" t="s">
        <v>329</v>
      </c>
      <c r="C48" t="s">
        <v>17</v>
      </c>
      <c r="D48" s="4">
        <v>-8.029999999999999</v>
      </c>
      <c r="E48" t="s">
        <v>37</v>
      </c>
      <c r="F48">
        <v>8</v>
      </c>
      <c r="G48" s="12" t="s">
        <v>487</v>
      </c>
    </row>
    <row r="49" spans="1:7">
      <c r="A49" s="2">
        <v>45986</v>
      </c>
      <c r="B49" t="s">
        <v>335</v>
      </c>
      <c r="C49" t="s">
        <v>17</v>
      </c>
      <c r="D49" s="4">
        <v>-9.140000000000001</v>
      </c>
      <c r="E49" t="s">
        <v>37</v>
      </c>
      <c r="F49">
        <v>8</v>
      </c>
      <c r="G49" s="12" t="s">
        <v>487</v>
      </c>
    </row>
    <row r="50" spans="1:7">
      <c r="A50" s="2">
        <v>45987</v>
      </c>
      <c r="B50" t="s">
        <v>201</v>
      </c>
      <c r="C50" t="s">
        <v>17</v>
      </c>
      <c r="D50" s="4">
        <v>-66.06999999999999</v>
      </c>
      <c r="E50" s="5" t="s">
        <v>340</v>
      </c>
      <c r="F50">
        <v>8</v>
      </c>
      <c r="G50" s="12" t="s">
        <v>489</v>
      </c>
    </row>
    <row r="51" spans="1:7">
      <c r="A51" s="2">
        <v>45987</v>
      </c>
      <c r="B51" t="s">
        <v>166</v>
      </c>
      <c r="C51" t="s">
        <v>2</v>
      </c>
      <c r="D51" s="4">
        <v>-18.17</v>
      </c>
      <c r="E51" s="5" t="s">
        <v>344</v>
      </c>
      <c r="F51">
        <v>8</v>
      </c>
      <c r="G51" s="5" t="s">
        <v>488</v>
      </c>
    </row>
    <row r="52" spans="1:7">
      <c r="A52" s="2">
        <v>45987</v>
      </c>
      <c r="B52" t="s">
        <v>348</v>
      </c>
      <c r="C52" t="s">
        <v>17</v>
      </c>
      <c r="D52" s="4">
        <v>-8</v>
      </c>
      <c r="E52" t="s">
        <v>37</v>
      </c>
      <c r="F52">
        <v>8</v>
      </c>
      <c r="G52" s="12" t="s">
        <v>487</v>
      </c>
    </row>
    <row r="53" spans="1:7">
      <c r="A53" s="2">
        <v>45988</v>
      </c>
      <c r="B53" t="s">
        <v>201</v>
      </c>
      <c r="C53" t="s">
        <v>17</v>
      </c>
      <c r="D53" s="4">
        <v>-8.09</v>
      </c>
      <c r="E53" t="s">
        <v>37</v>
      </c>
      <c r="F53">
        <v>8</v>
      </c>
      <c r="G53" s="12" t="s">
        <v>487</v>
      </c>
    </row>
    <row r="54" spans="1:7">
      <c r="A54" s="2">
        <v>45989</v>
      </c>
      <c r="B54" t="s">
        <v>376</v>
      </c>
      <c r="C54" t="s">
        <v>17</v>
      </c>
      <c r="D54" s="4">
        <v>-35</v>
      </c>
      <c r="E54" t="s">
        <v>37</v>
      </c>
      <c r="F54">
        <v>9</v>
      </c>
      <c r="G54" s="12" t="s">
        <v>487</v>
      </c>
    </row>
    <row r="55" spans="1:7">
      <c r="A55" s="2">
        <v>45989</v>
      </c>
      <c r="B55" t="s">
        <v>378</v>
      </c>
      <c r="C55" t="s">
        <v>17</v>
      </c>
      <c r="D55" s="4">
        <v>-36.63</v>
      </c>
      <c r="E55" t="s">
        <v>37</v>
      </c>
      <c r="F55">
        <v>9</v>
      </c>
      <c r="G55" s="12" t="s">
        <v>487</v>
      </c>
    </row>
    <row r="56" spans="1:7">
      <c r="A56" s="2">
        <v>45989</v>
      </c>
      <c r="B56" t="s">
        <v>380</v>
      </c>
      <c r="C56" t="s">
        <v>17</v>
      </c>
      <c r="D56" s="4">
        <v>-90.95</v>
      </c>
      <c r="E56" t="s">
        <v>37</v>
      </c>
      <c r="F56">
        <v>9</v>
      </c>
      <c r="G56" s="12" t="s">
        <v>487</v>
      </c>
    </row>
    <row r="57" spans="1:7">
      <c r="A57" s="2">
        <v>45990</v>
      </c>
      <c r="B57" t="s">
        <v>382</v>
      </c>
      <c r="C57" t="s">
        <v>17</v>
      </c>
      <c r="D57" s="4">
        <v>-342.4</v>
      </c>
      <c r="E57" t="s">
        <v>37</v>
      </c>
      <c r="F57">
        <v>9</v>
      </c>
      <c r="G57" s="12" t="s">
        <v>487</v>
      </c>
    </row>
    <row r="58" spans="1:7">
      <c r="A58" s="2">
        <v>45990</v>
      </c>
      <c r="B58" t="s">
        <v>385</v>
      </c>
      <c r="C58" t="s">
        <v>17</v>
      </c>
      <c r="D58" s="4">
        <v>-47.49</v>
      </c>
      <c r="E58" t="s">
        <v>37</v>
      </c>
      <c r="F58">
        <v>9</v>
      </c>
      <c r="G58" s="12" t="s">
        <v>487</v>
      </c>
    </row>
    <row r="59" spans="1:7">
      <c r="A59" s="2">
        <v>45990</v>
      </c>
      <c r="B59" t="s">
        <v>388</v>
      </c>
      <c r="C59" t="s">
        <v>17</v>
      </c>
      <c r="D59" s="4">
        <v>-138.75</v>
      </c>
      <c r="E59" t="s">
        <v>37</v>
      </c>
      <c r="F59">
        <v>9</v>
      </c>
      <c r="G59" s="12" t="s">
        <v>487</v>
      </c>
    </row>
    <row r="60" spans="1:7">
      <c r="A60" s="2">
        <v>45990</v>
      </c>
      <c r="B60" t="s">
        <v>391</v>
      </c>
      <c r="C60" t="s">
        <v>8</v>
      </c>
      <c r="D60" s="4">
        <v>-29.59</v>
      </c>
      <c r="E60" s="5" t="s">
        <v>392</v>
      </c>
      <c r="F60">
        <v>9</v>
      </c>
      <c r="G60" s="5" t="s">
        <v>488</v>
      </c>
    </row>
    <row r="61" spans="1:7">
      <c r="A61" s="2">
        <v>45990</v>
      </c>
      <c r="B61" t="s">
        <v>394</v>
      </c>
      <c r="C61" t="s">
        <v>17</v>
      </c>
      <c r="D61" s="4">
        <v>-11.99</v>
      </c>
      <c r="E61" t="s">
        <v>37</v>
      </c>
      <c r="F61">
        <v>9</v>
      </c>
      <c r="G61" s="12" t="s">
        <v>487</v>
      </c>
    </row>
    <row r="62" spans="1:7">
      <c r="A62" s="2">
        <v>45993</v>
      </c>
      <c r="B62" t="s">
        <v>407</v>
      </c>
      <c r="C62" t="s">
        <v>17</v>
      </c>
      <c r="D62" s="4">
        <v>-56.99</v>
      </c>
      <c r="E62" t="s">
        <v>37</v>
      </c>
      <c r="F62">
        <v>9</v>
      </c>
      <c r="G62" s="12" t="s">
        <v>487</v>
      </c>
    </row>
    <row r="63" spans="1:7">
      <c r="A63" s="2">
        <v>45993</v>
      </c>
      <c r="B63" t="s">
        <v>417</v>
      </c>
      <c r="C63" t="s">
        <v>17</v>
      </c>
      <c r="D63" s="4">
        <v>-41.24</v>
      </c>
      <c r="E63" s="5" t="s">
        <v>418</v>
      </c>
      <c r="F63">
        <v>10</v>
      </c>
      <c r="G63" s="12" t="s">
        <v>489</v>
      </c>
    </row>
    <row r="64" spans="1:7">
      <c r="A64" s="2">
        <v>45993</v>
      </c>
      <c r="B64" t="s">
        <v>428</v>
      </c>
      <c r="C64" t="s">
        <v>17</v>
      </c>
      <c r="D64" s="4">
        <v>-25</v>
      </c>
      <c r="E64" t="s">
        <v>37</v>
      </c>
      <c r="F64">
        <v>10</v>
      </c>
      <c r="G64" s="12" t="s">
        <v>487</v>
      </c>
    </row>
    <row r="65" spans="1:7">
      <c r="A65" s="2">
        <v>45993</v>
      </c>
      <c r="B65" t="s">
        <v>430</v>
      </c>
      <c r="C65" t="s">
        <v>17</v>
      </c>
      <c r="D65" s="4">
        <v>-8.92</v>
      </c>
      <c r="E65" t="s">
        <v>37</v>
      </c>
      <c r="F65">
        <v>10</v>
      </c>
      <c r="G65" s="12" t="s">
        <v>487</v>
      </c>
    </row>
    <row r="66" spans="1:7">
      <c r="A66" s="2">
        <v>45993</v>
      </c>
      <c r="B66" t="s">
        <v>432</v>
      </c>
      <c r="C66" t="s">
        <v>17</v>
      </c>
      <c r="D66" s="4">
        <v>-19.28</v>
      </c>
      <c r="E66" t="s">
        <v>37</v>
      </c>
      <c r="F66">
        <v>10</v>
      </c>
      <c r="G66" s="12" t="s">
        <v>487</v>
      </c>
    </row>
    <row r="67" spans="1:7">
      <c r="A67" s="2">
        <v>45994</v>
      </c>
      <c r="B67" t="s">
        <v>438</v>
      </c>
      <c r="C67" t="s">
        <v>17</v>
      </c>
      <c r="D67" s="4">
        <v>-15.72</v>
      </c>
      <c r="E67" t="s">
        <v>37</v>
      </c>
      <c r="F67">
        <v>10</v>
      </c>
      <c r="G67" s="12" t="s">
        <v>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4.7109375" customWidth="1"/>
    <col min="2" max="2" width="62.7109375" customWidth="1"/>
    <col min="3" max="3" width="26.7109375" customWidth="1"/>
    <col min="4" max="4" width="62.7109375" customWidth="1"/>
  </cols>
  <sheetData>
    <row r="1" spans="1:4">
      <c r="A1" s="6" t="s">
        <v>490</v>
      </c>
      <c r="B1" s="6"/>
      <c r="C1" s="6"/>
      <c r="D1" s="6"/>
    </row>
    <row r="3" spans="1:4">
      <c r="A3" s="3" t="s">
        <v>491</v>
      </c>
      <c r="B3" s="3" t="s">
        <v>492</v>
      </c>
      <c r="C3" s="3" t="s">
        <v>493</v>
      </c>
      <c r="D3" s="3" t="s">
        <v>494</v>
      </c>
    </row>
    <row r="4" spans="1:4">
      <c r="A4" s="3" t="s">
        <v>495</v>
      </c>
      <c r="B4" s="3" t="s">
        <v>496</v>
      </c>
      <c r="C4" s="3" t="s">
        <v>497</v>
      </c>
      <c r="D4" s="3" t="s">
        <v>36</v>
      </c>
    </row>
    <row r="5" spans="1:4">
      <c r="A5" s="3" t="s">
        <v>498</v>
      </c>
      <c r="B5" s="4">
        <v>7659.32</v>
      </c>
      <c r="C5" s="3" t="s">
        <v>499</v>
      </c>
      <c r="D5" s="4">
        <v>5034.38</v>
      </c>
    </row>
    <row r="6" spans="1:4">
      <c r="A6" s="3" t="s">
        <v>500</v>
      </c>
      <c r="B6" s="3">
        <v>200</v>
      </c>
      <c r="C6" s="3" t="s">
        <v>501</v>
      </c>
      <c r="D6" s="3">
        <v>14</v>
      </c>
    </row>
    <row r="7" spans="1:4">
      <c r="A7" s="3" t="s">
        <v>502</v>
      </c>
      <c r="B7" s="3" t="s">
        <v>503</v>
      </c>
      <c r="C7" s="3" t="s">
        <v>504</v>
      </c>
      <c r="D7" s="3" t="s">
        <v>505</v>
      </c>
    </row>
    <row r="8" spans="1:4">
      <c r="A8" s="3" t="s">
        <v>480</v>
      </c>
      <c r="B8" s="3" t="s">
        <v>506</v>
      </c>
      <c r="C8" s="3" t="s">
        <v>507</v>
      </c>
      <c r="D8" s="3" t="s">
        <v>508</v>
      </c>
    </row>
    <row r="9" spans="1:4">
      <c r="A9" s="3" t="s">
        <v>509</v>
      </c>
      <c r="B9" s="3" t="s">
        <v>510</v>
      </c>
      <c r="C9" s="3" t="s">
        <v>511</v>
      </c>
      <c r="D9" s="3" t="s">
        <v>512</v>
      </c>
    </row>
    <row r="10" spans="1:4">
      <c r="A10" s="3" t="s">
        <v>513</v>
      </c>
      <c r="B10" s="3" t="s">
        <v>514</v>
      </c>
      <c r="C10" s="3" t="s">
        <v>515</v>
      </c>
      <c r="D10" s="3" t="s">
        <v>516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30.7109375" customWidth="1"/>
    <col min="2" max="2" width="24.7109375" customWidth="1"/>
    <col min="4" max="4" width="28.7109375" customWidth="1"/>
    <col min="5" max="5" width="18.7109375" customWidth="1"/>
  </cols>
  <sheetData>
    <row r="1" spans="1:8">
      <c r="A1" s="6" t="s">
        <v>517</v>
      </c>
      <c r="B1" s="6"/>
      <c r="C1" s="6"/>
      <c r="D1" s="6"/>
      <c r="E1" s="6"/>
      <c r="F1" s="6"/>
      <c r="G1" s="6"/>
      <c r="H1" s="6"/>
    </row>
    <row r="3" spans="1:8">
      <c r="A3" s="7" t="s">
        <v>518</v>
      </c>
      <c r="B3" s="7" t="s">
        <v>496</v>
      </c>
      <c r="D3" s="7" t="s">
        <v>520</v>
      </c>
      <c r="E3" s="8">
        <f>Budget!B2</f>
        <v>0</v>
      </c>
    </row>
    <row r="4" spans="1:8">
      <c r="A4" s="7" t="s">
        <v>500</v>
      </c>
      <c r="B4" s="7">
        <v>200</v>
      </c>
      <c r="D4" s="7" t="s">
        <v>521</v>
      </c>
      <c r="E4" s="8">
        <f>Budget!D22</f>
        <v>0</v>
      </c>
    </row>
    <row r="5" spans="1:8">
      <c r="A5" s="7" t="s">
        <v>498</v>
      </c>
      <c r="B5" s="8">
        <v>7659.32</v>
      </c>
      <c r="D5" s="7" t="s">
        <v>482</v>
      </c>
      <c r="E5" s="8">
        <f>E3-E4</f>
        <v>0</v>
      </c>
    </row>
    <row r="6" spans="1:8">
      <c r="A6" s="7" t="s">
        <v>499</v>
      </c>
      <c r="B6" s="8">
        <v>5034.38</v>
      </c>
      <c r="D6" s="7" t="s">
        <v>522</v>
      </c>
      <c r="E6" s="11">
        <f>IFERROR(E5/E3,0)</f>
        <v>0</v>
      </c>
    </row>
    <row r="7" spans="1:8">
      <c r="A7" s="7" t="s">
        <v>519</v>
      </c>
      <c r="B7" s="7">
        <v>14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Lists</vt:lpstr>
      <vt:lpstr>Transactions</vt:lpstr>
      <vt:lpstr>Monthly Summary</vt:lpstr>
      <vt:lpstr>Budget</vt:lpstr>
      <vt:lpstr>Review</vt:lpstr>
      <vt:lpstr>Assumptions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2026-09-08T03:53:21Z</dcterms:created>
  <dcterms:modified xsi:type="dcterms:W3CDTF">2026-09-08T03:53:21Z</dcterms:modified>
</cp:coreProperties>
</file>