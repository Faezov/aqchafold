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nsactions" sheetId="2" r:id="rId2"/>
    <sheet name="Monthly Summary" sheetId="3" r:id="rId3"/>
    <sheet name="Budget" sheetId="4" r:id="rId4"/>
    <sheet name="Merchant Review" sheetId="5" r:id="rId5"/>
    <sheet name="Merchant Rules" sheetId="6" r:id="rId6"/>
    <sheet name="Parser Review" sheetId="7" r:id="rId7"/>
    <sheet name="Assumptions" sheetId="8" r:id="rId8"/>
    <sheet name="Lists" sheetId="9" r:id="rId9"/>
  </sheets>
  <calcPr calcId="124519" fullCalcOnLoad="1"/>
</workbook>
</file>

<file path=xl/sharedStrings.xml><?xml version="1.0" encoding="utf-8"?>
<sst xmlns="http://schemas.openxmlformats.org/spreadsheetml/2006/main" count="8910" uniqueCount="2069">
  <si>
    <t>Category</t>
  </si>
  <si>
    <t>Housing - Rent</t>
  </si>
  <si>
    <t>Groceries</t>
  </si>
  <si>
    <t>Dining &amp; Coffee</t>
  </si>
  <si>
    <t>Utilities &amp; Phone</t>
  </si>
  <si>
    <t>Transport</t>
  </si>
  <si>
    <t>Fitness &amp; Memberships</t>
  </si>
  <si>
    <t>Health &amp; Pharmacy</t>
  </si>
  <si>
    <t>Shopping</t>
  </si>
  <si>
    <t>Beauty &amp; Personal Care</t>
  </si>
  <si>
    <t>Home &amp; Household</t>
  </si>
  <si>
    <t>Entertainment &amp; Experiences</t>
  </si>
  <si>
    <t>Subscriptions &amp; Donations</t>
  </si>
  <si>
    <t>Bank Fees</t>
  </si>
  <si>
    <t>Government &amp; Admin</t>
  </si>
  <si>
    <t>Travel</t>
  </si>
  <si>
    <t>Cash Withdrawal</t>
  </si>
  <si>
    <t>Other</t>
  </si>
  <si>
    <t>Transfer Out</t>
  </si>
  <si>
    <t>Transfer In</t>
  </si>
  <si>
    <t>Income - Recurring Direct Credit</t>
  </si>
  <si>
    <t>Income - Refund/Reimbursement</t>
  </si>
  <si>
    <t>Income - Other Credit</t>
  </si>
  <si>
    <t>Education &amp; Professional</t>
  </si>
  <si>
    <t>Budget Character</t>
  </si>
  <si>
    <t>Essential</t>
  </si>
  <si>
    <t>Discretionary</t>
  </si>
  <si>
    <t>Irregular</t>
  </si>
  <si>
    <t>Work/Admin</t>
  </si>
  <si>
    <t>Unknown</t>
  </si>
  <si>
    <t>Transfer</t>
  </si>
  <si>
    <t>Income</t>
  </si>
  <si>
    <t>Rule Status</t>
  </si>
  <si>
    <t>confirmed</t>
  </si>
  <si>
    <t>suggested</t>
  </si>
  <si>
    <t>fallback</t>
  </si>
  <si>
    <t>unmatched</t>
  </si>
  <si>
    <t>system</t>
  </si>
  <si>
    <t>Date</t>
  </si>
  <si>
    <t>Description</t>
  </si>
  <si>
    <t>Details</t>
  </si>
  <si>
    <t>Merchant</t>
  </si>
  <si>
    <t>Rule Match</t>
  </si>
  <si>
    <t>Amount (AUD)</t>
  </si>
  <si>
    <t>Debit (AUD)</t>
  </si>
  <si>
    <t>Credit (AUD)</t>
  </si>
  <si>
    <t>Statement Balance (AUD)</t>
  </si>
  <si>
    <t>Month</t>
  </si>
  <si>
    <t>Parse Status</t>
  </si>
  <si>
    <t>Source Page</t>
  </si>
  <si>
    <t>Raw PDF text</t>
  </si>
  <si>
    <t>SQ *KAHII Sydney AU</t>
  </si>
  <si>
    <t>Kahii</t>
  </si>
  <si>
    <t>contains:KAHII</t>
  </si>
  <si>
    <t>2026-06</t>
  </si>
  <si>
    <t>High confidence</t>
  </si>
  <si>
    <t>01 Jun 2026 SQ *KAHII Sydney AU -$7.10 $20,471.61</t>
  </si>
  <si>
    <t>Direct Credit 158824 AMAZON COMMERCIA</t>
  </si>
  <si>
    <t>FCS003830996572</t>
  </si>
  <si>
    <t>01 Jun 2026 Direct Credit 158824 AMAZON COMMERCIA $403.50 $20,875.11 | FCS003830996572</t>
  </si>
  <si>
    <t>Direct Debit 012495 GU HEALTH D/DBT</t>
  </si>
  <si>
    <t>29497443</t>
  </si>
  <si>
    <t>fallback:gu health d/dbt</t>
  </si>
  <si>
    <t>01 Jun 2026 Direct Debit 012495 GU HEALTH D/DBT -$139.08 $20,736.03 | 29497443</t>
  </si>
  <si>
    <t>REBEL BROOKVALE BROOKVALE NS AUS</t>
  </si>
  <si>
    <t>Card xx2810 | Value Date: 30/05/2026</t>
  </si>
  <si>
    <t>Rebel</t>
  </si>
  <si>
    <t>contains:REBEL</t>
  </si>
  <si>
    <t>02 Jun 2026 REBEL BROOKVALE BROOKVALE NS AUS -$67.99 $20,668.04 | Card xx2810 | Value Date: 30/05/2026</t>
  </si>
  <si>
    <t>The Vicars Daughters Collaroy AU AUS</t>
  </si>
  <si>
    <t>Card xx2810 | Value Date: 31/05/2026</t>
  </si>
  <si>
    <t>The Vicars Daughters Collaroy</t>
  </si>
  <si>
    <t>02 Jun 2026 The Vicars Daughters Collaroy AU AUS -$22.36 $20,645.68 | Card xx2810 | Value Date: 31/05/2026</t>
  </si>
  <si>
    <t>SEA VIEW CAFE &amp; RESTA Dee Why NS AUS</t>
  </si>
  <si>
    <t>SEA VIEW CAFE &amp; RESTA Dee Why</t>
  </si>
  <si>
    <t>fallback:cafe</t>
  </si>
  <si>
    <t>02 Jun 2026 SEA VIEW CAFE &amp; RESTA Dee Why NS AUS -$10.49 $20,635.19 | Card xx2810 | Value Date: 31/05/2026</t>
  </si>
  <si>
    <t>LSP*Corretto Dee Why Dee Why AU AUS</t>
  </si>
  <si>
    <t>Corretto Dee Why Dee Why</t>
  </si>
  <si>
    <t>fallback:corretto</t>
  </si>
  <si>
    <t>02 Jun 2026 LSP*Corretto Dee Why Dee Why AU AUS -$51.25 $20,583.94 | Card xx2810 | Value Date: 30/05/2026</t>
  </si>
  <si>
    <t>COLES 0784 DEE WHY NS AUS</t>
  </si>
  <si>
    <t>Card xx0018 | Value Date: 31/05/2026</t>
  </si>
  <si>
    <t>COLES 0784 DEE WHY</t>
  </si>
  <si>
    <t xml:space="preserve">fallback:coles </t>
  </si>
  <si>
    <t>02 Jun 2026 COLES 0784 DEE WHY NS AUS -$81.76 $20,502.18 | Card xx0018 | Value Date: 31/05/2026</t>
  </si>
  <si>
    <t>W RETAIL GROUP PTY LTD WARRINGAH AUS</t>
  </si>
  <si>
    <t>Card xx0018 | Value Date: 30/05/2026</t>
  </si>
  <si>
    <t>W RETAIL GROUP PTY LTD WARRINGAH</t>
  </si>
  <si>
    <t>fallback:w retail group</t>
  </si>
  <si>
    <t>02 Jun 2026 W RETAIL GROUP PTY LTD WARRINGAH AUS -$53.43 $20,448.75 | Card xx0018 | Value Date: 30/05/2026</t>
  </si>
  <si>
    <t>GUZMAN Y GOMEZ 0291910900 AU AUS</t>
  </si>
  <si>
    <t>GUZMAN Y GOMEZ</t>
  </si>
  <si>
    <t>fallback:guzman</t>
  </si>
  <si>
    <t>02 Jun 2026 GUZMAN Y GOMEZ 0291910900 AU AUS -$16.90 $20,431.85 | Card xx0018 | Value Date: 30/05/2026</t>
  </si>
  <si>
    <t>COLES 0897 BROOKVALE NS AUS</t>
  </si>
  <si>
    <t>COLES 0897 BROOKVALE</t>
  </si>
  <si>
    <t>02 Jun 2026 COLES 0897 BROOKVALE NS AUS -$34.30 $20,397.55 | Card xx0018 | Value Date: 30/05/2026</t>
  </si>
  <si>
    <t>TRANSPORTFORNSW TAP SYDNEY AUS</t>
  </si>
  <si>
    <t>Card xx0018 | Value Date: 29/05/2026</t>
  </si>
  <si>
    <t>Transport for NSW</t>
  </si>
  <si>
    <t>contains:TRANSPORTFORNSW</t>
  </si>
  <si>
    <t>02 Jun 2026 TRANSPORTFORNSW TAP SYDNEY AUS -$5.77 $20,391.78 | Card xx0018 | Value Date: 29/05/2026</t>
  </si>
  <si>
    <t>02 Jun 2026 SQ *KAHII Sydney AU -$7.10 $20,384.68</t>
  </si>
  <si>
    <t>AMZNPRIMEA* AMZNPRIMEA SYDNEY SOUTH NS AUS</t>
  </si>
  <si>
    <t>Card xx6220 | Value Date: 01/06/2026</t>
  </si>
  <si>
    <t>Amazon Prime</t>
  </si>
  <si>
    <t>contains:AMZNPRIMEA</t>
  </si>
  <si>
    <t>03 Jun 2026 AMZNPRIMEA* AMZNPRIMEA SYDNEY SOUTH NS -$79.00 $20,305.68 | AUS | Card xx6220 | Value Date: 01/06/2026</t>
  </si>
  <si>
    <t>BITE* BBDEE WHY SANCROX NS AUS</t>
  </si>
  <si>
    <t>Card xx2810 | Value Date: 01/06/2026</t>
  </si>
  <si>
    <t>BITE* BBDEE WHY SANCROX</t>
  </si>
  <si>
    <t>fallback:bite*</t>
  </si>
  <si>
    <t>03 Jun 2026 BITE* BBDEE WHY SANCROX NS AUS -$27.78 $20,277.90 | Card xx2810 | Value Date: 01/06/2026</t>
  </si>
  <si>
    <t>Card xx0018 | Value Date: 01/06/2026</t>
  </si>
  <si>
    <t>03 Jun 2026 TRANSPORTFORNSW TAP SYDNEY AUS -$2.31 $20,275.59 | Card xx0018 | Value Date: 01/06/2026</t>
  </si>
  <si>
    <t>VIET VIBE BROOKVALE AUS</t>
  </si>
  <si>
    <t>VIET VIBE BROOKVALE</t>
  </si>
  <si>
    <t>fallback:viet vibe</t>
  </si>
  <si>
    <t>03 Jun 2026 VIET VIBE BROOKVALE AUS -$22.33 $20,253.26 | Card xx0018 | Value Date: 30/05/2026</t>
  </si>
  <si>
    <t>MAO SHENG ASIAN SUPE DEE WHY AUS</t>
  </si>
  <si>
    <t>MAO SHENG ASIAN SUPE DEE WHY</t>
  </si>
  <si>
    <t>fallback:mao sheng</t>
  </si>
  <si>
    <t>03 Jun 2026 MAO SHENG ASIAN SUPE DEE WHY AUS -$5.40 $20,247.86 | Card xx0018 | Value Date: 30/05/2026</t>
  </si>
  <si>
    <t>asos.com Melbourne AUS</t>
  </si>
  <si>
    <t>ASOS</t>
  </si>
  <si>
    <t>contains:ASOS</t>
  </si>
  <si>
    <t>03 Jun 2026 asos.com Melbourne AUS -$123.99 $20,123.87 | Card xx0018 | Value Date: 01/06/2026</t>
  </si>
  <si>
    <t>SQ *SALUMERIE - SYDNEY Sydney AU</t>
  </si>
  <si>
    <t>SALUMERIE - SYDNEY Sydney</t>
  </si>
  <si>
    <t>fallback:salumerie</t>
  </si>
  <si>
    <t>03 Jun 2026 SQ *SALUMERIE - SYDNEY Sydney AU -$6.60 $20,117.27</t>
  </si>
  <si>
    <t>03 Jun 2026 SQ *KAHII Sydney AU -$7.10 $20,110.17</t>
  </si>
  <si>
    <t>COLES 0784 DEE WHY AU</t>
  </si>
  <si>
    <t>03 Jun 2026 COLES 0784 DEE WHY AU -$23.16 $20,087.01</t>
  </si>
  <si>
    <t>Transfer To Jetstar Airways Pty Ltd - $1</t>
  </si>
  <si>
    <t>PayID Email from CommBank App | Booking Reference IT3ZJX</t>
  </si>
  <si>
    <t>03 Jun 2026 Transfer To Jetstar Airways Pty Ltd - $1 -$1,104.00 $18,983.01 | PayID Email from CommBank App | Booking Reference IT3ZJX</t>
  </si>
  <si>
    <t>Direct Debit 507156 MBAUDPayments</t>
  </si>
  <si>
    <t>AMBITIONS_UdCSdbn6</t>
  </si>
  <si>
    <t>fallback:mbaudpayments</t>
  </si>
  <si>
    <t>03 Jun 2026 Direct Debit 507156 MBAUDPayments -$68.00 $18,915.01 | AMBITIONS_UdCSdbn6</t>
  </si>
  <si>
    <t>ENERGYAUSTRALIA PTY LT MELBOURNE AUS</t>
  </si>
  <si>
    <t>Card xx6220 | Value Date: 03/06/2026</t>
  </si>
  <si>
    <t>ENERGYAUSTRALIA PTY LT MELBOURNE</t>
  </si>
  <si>
    <t>fallback:energyaustralia</t>
  </si>
  <si>
    <t>04 Jun 2026 ENERGYAUSTRALIA PTY LT MELBOURNE AUS -$380.28 $18,534.73 | Card xx6220 | Value Date: 03/06/2026</t>
  </si>
  <si>
    <t>Card xx0018 | Value Date: 02/06/2026</t>
  </si>
  <si>
    <t>04 Jun 2026 TRANSPORTFORNSW TAP SYDNEY AUS -$5.77 $18,528.96 | Card xx0018 | Value Date: 02/06/2026</t>
  </si>
  <si>
    <t>FLYING HAT SYDNEY AUS</t>
  </si>
  <si>
    <t>Flying Hat</t>
  </si>
  <si>
    <t>contains:FLYING HAT</t>
  </si>
  <si>
    <t>04 Jun 2026 FLYING HAT SYDNEY AUS -$6.07 $18,522.89 | Card xx0018 | Value Date: 02/06/2026</t>
  </si>
  <si>
    <t>100 CLARENCE PTY LTD SYDNEY AUS</t>
  </si>
  <si>
    <t>100 CLARENCE PTY LTD SYDNEY</t>
  </si>
  <si>
    <t>04 Jun 2026 100 CLARENCE PTY LTD SYDNEY AUS -$6.59 $18,516.30 | Card xx0018 | Value Date: 01/06/2026</t>
  </si>
  <si>
    <t>HUNGRYPANDA AU PRAHRAN VI AUS</t>
  </si>
  <si>
    <t>HungryPanda</t>
  </si>
  <si>
    <t>contains:HUNGRYPANDA</t>
  </si>
  <si>
    <t>04 Jun 2026 HUNGRYPANDA AU PRAHRAN VI AUS -$14.03 $18,502.27 | Card xx0018 | Value Date: 02/06/2026</t>
  </si>
  <si>
    <t>DEFT REAL ESTATE NetBank BPAY 4481 0053436473 Rent may 9 to 23</t>
  </si>
  <si>
    <t>DEFT REAL ESTATE NetBank BPAY 4481 Rent may 9 to 23</t>
  </si>
  <si>
    <t>fallback:deft real estate</t>
  </si>
  <si>
    <t>04 Jun 2026 DEFT REAL ESTATE NetBank BPAY 4481 -$1,720.00 $16,782.27 | 0053436473 Rent may 9 to 23</t>
  </si>
  <si>
    <t>SQ *SKITTLE LANE Sydney AU</t>
  </si>
  <si>
    <t>SKITTLE LANE Sydney</t>
  </si>
  <si>
    <t>fallback:skittle lane</t>
  </si>
  <si>
    <t>04 Jun 2026 SQ *SKITTLE LANE Sydney AU -$5.58 $16,776.69</t>
  </si>
  <si>
    <t>SQ *MADAME LYNN Pyrmont AU</t>
  </si>
  <si>
    <t>MADAME LYNN Pyrmont</t>
  </si>
  <si>
    <t>04 Jun 2026 SQ *MADAME LYNN Pyrmont AU -$11.18 $16,765.51</t>
  </si>
  <si>
    <t>SQ *LETAO SYDNEY Sydney AU</t>
  </si>
  <si>
    <t>LETAO SYDNEY Sydney</t>
  </si>
  <si>
    <t>04 Jun 2026 SQ *LETAO SYDNEY Sydney AU -$7.09 $16,758.42</t>
  </si>
  <si>
    <t>AMAZON AU RETAIL SYDNEY AUS</t>
  </si>
  <si>
    <t>AMAZON RETAIL SYDNEY</t>
  </si>
  <si>
    <t>fallback:amazon au</t>
  </si>
  <si>
    <t>05 Jun 2026 AMAZON AU RETAIL SYDNEY AUS -$36.10 $16,722.32 | Card xx6220 | Value Date: 01/06/2026</t>
  </si>
  <si>
    <t>BEAUTYFASCIA SHERIDAN WY USA</t>
  </si>
  <si>
    <t>Card xx0018 USD 49.00 | Value Date: 03/06/2026</t>
  </si>
  <si>
    <t>BeautyFascia</t>
  </si>
  <si>
    <t>contains:BEAUTYFASCIA</t>
  </si>
  <si>
    <t>05 Jun 2026 BEAUTYFASCIA SHERIDAN WY USA -$68.57 $16,653.75 | Card xx0018 USD 49.00 | Value Date: 03/06/2026</t>
  </si>
  <si>
    <t>International Transaction Fee</t>
  </si>
  <si>
    <t>Value Date: 02/06/2026</t>
  </si>
  <si>
    <t>fallback:international transaction fee</t>
  </si>
  <si>
    <t>05 Jun 2026 International Transaction Fee -$2.40 $16,651.35 | Value Date: 02/06/2026</t>
  </si>
  <si>
    <t>SQ *PANINO PARADISO Sydney AU</t>
  </si>
  <si>
    <t>PANINO PARADISO Sydney</t>
  </si>
  <si>
    <t>fallback:panino paradiso</t>
  </si>
  <si>
    <t>05 Jun 2026 SQ *PANINO PARADISO Sydney AU -$5.10 $16,646.25</t>
  </si>
  <si>
    <t>05 Jun 2026 SQ *PANINO PARADISO Sydney AU -$6.11 $16,640.14</t>
  </si>
  <si>
    <t>SNSW*NSW Parks</t>
  </si>
  <si>
    <t>NSW National Parks</t>
  </si>
  <si>
    <t>contains:SNSW*NSW PARKS</t>
  </si>
  <si>
    <t>05 Jun 2026 SNSW*NSW Parks -$34.85 $16,605.29</t>
  </si>
  <si>
    <t>MUJI RETAIL (AUSTRAL SYDNEY AU</t>
  </si>
  <si>
    <t>MUJI RETAIL (AUSTRAL SYDNEY</t>
  </si>
  <si>
    <t>fallback:muji retail</t>
  </si>
  <si>
    <t>05 Jun 2026 MUJI RETAIL (AUSTRAL SYDNEY AU -$40.20 $16,565.09</t>
  </si>
  <si>
    <t>SQ *WINGMILL Dee Why NS AUS</t>
  </si>
  <si>
    <t>Card xx0018 | Value Date: 04/06/2026</t>
  </si>
  <si>
    <t>WINGMILL Dee Why</t>
  </si>
  <si>
    <t>fallback:wingmill</t>
  </si>
  <si>
    <t>06 Jun 2026 SQ *WINGMILL Dee Why NS AUS -$45.00 $16,520.09 | Card xx0018 | Value Date: 04/06/2026</t>
  </si>
  <si>
    <t>SQ *SACREBLEU ! CANELE dee why AU</t>
  </si>
  <si>
    <t>SACREBLEU ! CANELE dee why</t>
  </si>
  <si>
    <t>fallback:canele</t>
  </si>
  <si>
    <t>06 Jun 2026 SQ *SACREBLEU ! CANELE dee why AU -$47.48 $16,472.61</t>
  </si>
  <si>
    <t>SQ *BUTTERBOX LONGREEF Wheeler Heigh AU</t>
  </si>
  <si>
    <t>BUTTERBOX LONGREEF Wheeler Heigh</t>
  </si>
  <si>
    <t>06 Jun 2026 SQ *BUTTERBOX LONGREEF Wheeler Heigh AU -$6.00 $16,466.61</t>
  </si>
  <si>
    <t>The Burek Guy Dee Why Dee Why AU</t>
  </si>
  <si>
    <t>The Burek Guy Dee Why Dee Why</t>
  </si>
  <si>
    <t>fallback:burek</t>
  </si>
  <si>
    <t>06 Jun 2026 The Burek Guy Dee Why Dee Why AU -$9.11 $16,457.50</t>
  </si>
  <si>
    <t>LS LIFELINE NORTHERN Balgowlah AU</t>
  </si>
  <si>
    <t>LIFELINE NORTHERN Balgowlah</t>
  </si>
  <si>
    <t>06 Jun 2026 LS LIFELINE NORTHERN Balgowlah AU -$8.05 $16,449.45</t>
  </si>
  <si>
    <t>Transfer To O ARSLAN</t>
  </si>
  <si>
    <t>PayID Phone from CommBank App | Baklava</t>
  </si>
  <si>
    <t>07 Jun 2026 Transfer To O ARSLAN -$10.00 $16,439.45 | PayID Phone from CommBank App | Baklava</t>
  </si>
  <si>
    <t>SQ *GUSTO ON THE BEACH Dee Why AU</t>
  </si>
  <si>
    <t>GUSTO ON THE BEACH Dee Why</t>
  </si>
  <si>
    <t>07 Jun 2026 SQ *GUSTO ON THE BEACH Dee Why AU -$33.53 $16,405.92</t>
  </si>
  <si>
    <t>07 Jun 2026 COLES 0784 DEE WHY AU -$12.50 $16,393.42</t>
  </si>
  <si>
    <t>SQ *WINGMILL Dee Why AU</t>
  </si>
  <si>
    <t>07 Jun 2026 SQ *WINGMILL Dee Why AU -$61.05 $16,332.37</t>
  </si>
  <si>
    <t>07 Jun 2026 SQ *WINGMILL Dee Why AU -$31.90 $16,300.47</t>
  </si>
  <si>
    <t>SQ *CASA FOCACCIA Dee Why AU</t>
  </si>
  <si>
    <t>CASA FOCACCIA Dee Why</t>
  </si>
  <si>
    <t>08 Jun 2026 SQ *CASA FOCACCIA Dee Why AU -$22.35 $16,278.12</t>
  </si>
  <si>
    <t>SQ *DY LOCAL Dee Why AU</t>
  </si>
  <si>
    <t>DY LOCAL Dee Why</t>
  </si>
  <si>
    <t>08 Jun 2026 SQ *DY LOCAL Dee Why AU -$9.98 $16,268.14</t>
  </si>
  <si>
    <t>TRANSPORTFORNSW OPAL CHIPPENDALE AUS</t>
  </si>
  <si>
    <t>Card xx6220 | Value Date: 05/06/2026</t>
  </si>
  <si>
    <t>09 Jun 2026 TRANSPORTFORNSW OPAL CHIPPENDALE AUS -$60.00 $16,208.14 | Card xx6220 | Value Date: 05/06/2026</t>
  </si>
  <si>
    <t>SP TEA LIFE NORTH SAINT M NS AUS</t>
  </si>
  <si>
    <t>Card xx0018 | Value Date: 07/06/2026</t>
  </si>
  <si>
    <t>TEA LIFE NORTH SAINT M</t>
  </si>
  <si>
    <t xml:space="preserve">fallback:tea </t>
  </si>
  <si>
    <t>09 Jun 2026 SP TEA LIFE NORTH SAINT M NS AUS -$66.80 $16,141.34 | Card xx0018 | Value Date: 07/06/2026</t>
  </si>
  <si>
    <t>Card xx0018 | Value Date: 06/06/2026</t>
  </si>
  <si>
    <t>09 Jun 2026 TRANSPORTFORNSW TAP SYDNEY AUS -$4.03 $16,137.31 | Card xx0018 | Value Date: 06/06/2026</t>
  </si>
  <si>
    <t>LA DISPENSA DEE WHY AUS</t>
  </si>
  <si>
    <t>LA DISPENSA DEE WHY</t>
  </si>
  <si>
    <t>09 Jun 2026 LA DISPENSA DEE WHY AUS -$11.99 $16,125.32 | Card xx0018 | Value Date: 06/06/2026</t>
  </si>
  <si>
    <t>AMPOL BROOKVALE 22683F BROOKVALE AUS</t>
  </si>
  <si>
    <t>AMPOL BROOKVALE 22683F BROOKVALE</t>
  </si>
  <si>
    <t>fallback:ampol</t>
  </si>
  <si>
    <t>09 Jun 2026 AMPOL BROOKVALE 22683F BROOKVALE AUS -$5.50 $16,119.82 | Card xx0018 | Value Date: 06/06/2026</t>
  </si>
  <si>
    <t>ECKERSLEYS PTY LIMITE BROOKVALE AUS</t>
  </si>
  <si>
    <t>ECKERSLEYS PTY LIMITE BROOKVALE</t>
  </si>
  <si>
    <t>09 Jun 2026 ECKERSLEYS PTY LIMITE BROOKVALE AUS -$19.50 $16,100.32 | Card xx0018 | Value Date: 06/06/2026</t>
  </si>
  <si>
    <t>ST VIN DE PAUL SOC NSW BROOKVALE AUS</t>
  </si>
  <si>
    <t>ST VIN DE PAUL SOC BROOKVALE</t>
  </si>
  <si>
    <t>09 Jun 2026 ST VIN DE PAUL SOC NSW BROOKVALE AUS -$3.00 $16,097.32 | Card xx0018 | Value Date: 06/06/2026</t>
  </si>
  <si>
    <t>WOOLWORTHS 1472 DEE WHY NS AUS</t>
  </si>
  <si>
    <t>WOOLWORTHS 1472 DEE WHY</t>
  </si>
  <si>
    <t>fallback:woolworths</t>
  </si>
  <si>
    <t>09 Jun 2026 WOOLWORTHS 1472 DEE WHY NS AUS -$49.54 $16,047.78 | Card xx0018 | Value Date: 06/06/2026</t>
  </si>
  <si>
    <t>Card xx0018 | Value Date: 05/06/2026</t>
  </si>
  <si>
    <t>09 Jun 2026 TRANSPORTFORNSW TAP SYDNEY AUS -$5.77 $16,042.01 | Card xx0018 | Value Date: 05/06/2026</t>
  </si>
  <si>
    <t>BETTYS BURGERS CHADSTONE VI AUS</t>
  </si>
  <si>
    <t>Betty's Burgers</t>
  </si>
  <si>
    <t>contains:BETTYS BURGERS</t>
  </si>
  <si>
    <t>09 Jun 2026 BETTYS BURGERS CHADSTONE VI AUS -$12.50 $16,029.51 | Card xx0018 | Value Date: 05/06/2026</t>
  </si>
  <si>
    <t>LS MUCHO ALOHA BARS PT Sydney AU AUS</t>
  </si>
  <si>
    <t>MUCHO ALOHA BARS PT Sydney</t>
  </si>
  <si>
    <t>09 Jun 2026 LS MUCHO ALOHA BARS PT Sydney AU AUS -$50.62 $15,978.89 | Card xx0018 | Value Date: 05/06/2026</t>
  </si>
  <si>
    <t>09 Jun 2026 SQ *KAHII Sydney AU -$7.10 $15,971.79</t>
  </si>
  <si>
    <t>SQ *T TOTALER Sydney AU</t>
  </si>
  <si>
    <t>T TOTALER Sydney</t>
  </si>
  <si>
    <t>fallback:totaler</t>
  </si>
  <si>
    <t>09 Jun 2026 SQ *T TOTALER Sydney AU -$9.65 $15,962.14</t>
  </si>
  <si>
    <t>IMT 1200002130485 Emily Paula Klobuchar</t>
  </si>
  <si>
    <t>REF K036403075872 | USD 137.56 Rate_0.6878 | Value Date_09/06/2026</t>
  </si>
  <si>
    <t>IMT Emily Paula Klobuchar</t>
  </si>
  <si>
    <t>09 Jun 2026 IMT 1200002130485 Emily Paula Klobuchar -$200.00 $15,762.14 | REF K036403075872 | USD 137.56 Rate_0.6878 | Value Date_09/06/2026</t>
  </si>
  <si>
    <t>AMAZON AU MARKETPLACE SYDNEY AUS</t>
  </si>
  <si>
    <t>Card xx6220 | Value Date: 07/06/2026</t>
  </si>
  <si>
    <t>AMAZON MARKETPLACE SYDNEY</t>
  </si>
  <si>
    <t>10 Jun 2026 AMAZON AU MARKETPLACE SYDNEY AUS -$15.89 $15,746.25 | Card xx6220 | Value Date: 07/06/2026</t>
  </si>
  <si>
    <t>Card xx2810 | Value Date: 08/06/2026</t>
  </si>
  <si>
    <t>10 Jun 2026 COLES 0784 DEE WHY NS AUS -$80.31 $15,665.94 | Card xx2810 | Value Date: 08/06/2026</t>
  </si>
  <si>
    <t>Card xx0018 | Value Date: 08/06/2026</t>
  </si>
  <si>
    <t>10 Jun 2026 GUZMAN Y GOMEZ 0291910900 AU AUS -$19.43 $15,646.51 | Card xx0018 | Value Date: 08/06/2026</t>
  </si>
  <si>
    <t>DODO SERVICES PTY LTD MELBOURNE VI AUS</t>
  </si>
  <si>
    <t>DODO SERVICES PTY LTD MELBOURNE</t>
  </si>
  <si>
    <t>fallback:dodo services</t>
  </si>
  <si>
    <t>10 Jun 2026 DODO SERVICES PTY LTD MELBOURNE VI AUS -$71.99 $15,574.52 | Card xx0018 | Value Date: 08/06/2026</t>
  </si>
  <si>
    <t>10 Jun 2026 SQ *KAHII Sydney AU -$7.10 $15,567.42</t>
  </si>
  <si>
    <t>SQ *PYRMONT KEBAB Pyrmont AU</t>
  </si>
  <si>
    <t>PYRMONT KEBAB Pyrmont</t>
  </si>
  <si>
    <t>fallback:kebab</t>
  </si>
  <si>
    <t>10 Jun 2026 SQ *PYRMONT KEBAB Pyrmont AU -$15.24 $15,552.18</t>
  </si>
  <si>
    <t>SMP*Hero Sushi Dee Why Dee Why02 AU</t>
  </si>
  <si>
    <t>Hero Sushi Dee Why Dee Why02</t>
  </si>
  <si>
    <t>fallback:sushi</t>
  </si>
  <si>
    <t>10 Jun 2026 SMP*Hero Sushi Dee Why Dee Why02 AU -$4.85 $15,547.33</t>
  </si>
  <si>
    <t>AMBITIONS_Ufp2vJgd</t>
  </si>
  <si>
    <t>10 Jun 2026 Direct Debit 507156 MBAUDPayments -$68.00 $15,479.33 | AMBITIONS_Ufp2vJgd</t>
  </si>
  <si>
    <t>Card xx2810 | Value Date: 09/06/2026</t>
  </si>
  <si>
    <t>11 Jun 2026 BITE* BBDEE WHY SANCROX NS AUS -$27.78 $15,451.55 | Card xx2810 | Value Date: 09/06/2026</t>
  </si>
  <si>
    <t>Card xx0018 | Value Date: 09/06/2026</t>
  </si>
  <si>
    <t>11 Jun 2026 HUNGRYPANDA AU PRAHRAN VI AUS -$16.39 $15,435.16 | Card xx0018 | Value Date: 09/06/2026</t>
  </si>
  <si>
    <t>SQ *CHINATOWN COUNTRY Sydney AU</t>
  </si>
  <si>
    <t>CHINATOWN COUNTRY Sydney</t>
  </si>
  <si>
    <t>fallback:chinatown country</t>
  </si>
  <si>
    <t>11 Jun 2026 SQ *CHINATOWN COUNTRY Sydney AU -$5.00 $15,430.16</t>
  </si>
  <si>
    <t>SQ *BUREAU CAFE Sydney AU</t>
  </si>
  <si>
    <t>BUREAU CAFE Sydney</t>
  </si>
  <si>
    <t>11 Jun 2026 SQ *BUREAU CAFE Sydney AU -$4.50 $15,425.66</t>
  </si>
  <si>
    <t>SQ *LIME ESPRESSO Sydney AU</t>
  </si>
  <si>
    <t>LIME ESPRESSO Sydney</t>
  </si>
  <si>
    <t>fallback:espresso</t>
  </si>
  <si>
    <t>11 Jun 2026 SQ *LIME ESPRESSO Sydney AU -$14.11 $15,411.55</t>
  </si>
  <si>
    <t>Direct Debit 518073 Crunch Fitness -</t>
  </si>
  <si>
    <t>EZYPAYID_99597645</t>
  </si>
  <si>
    <t>Direct Debit 518073 Crunch Fitness</t>
  </si>
  <si>
    <t>fallback:crunch fitness</t>
  </si>
  <si>
    <t>11 Jun 2026 Direct Debit 518073 Crunch Fitness - -$22.90 $15,388.65 | EZYPAYID_99597645</t>
  </si>
  <si>
    <t>EZYPAYID_99598093</t>
  </si>
  <si>
    <t>11 Jun 2026 Direct Debit 518073 Crunch Fitness - -$30.90 $15,357.75 | EZYPAYID_99598093</t>
  </si>
  <si>
    <t>Card xx2810 | Value Date: 10/06/2026</t>
  </si>
  <si>
    <t>12 Jun 2026 COLES 0784 DEE WHY NS AUS -$26.68 $15,331.07 | Card xx2810 | Value Date: 10/06/2026</t>
  </si>
  <si>
    <t>Card xx0018 | Value Date: 10/06/2026</t>
  </si>
  <si>
    <t>12 Jun 2026 TRANSPORTFORNSW TAP SYDNEY AUS -$4.03 $15,327.04 | Card xx0018 | Value Date: 10/06/2026</t>
  </si>
  <si>
    <t>MAPPEN 10 PTY LTD SYDNEY AU</t>
  </si>
  <si>
    <t>MAPPEN 10 PTY LTD SYDNEY</t>
  </si>
  <si>
    <t>fallback:mappen</t>
  </si>
  <si>
    <t>12 Jun 2026 MAPPEN 10 PTY LTD SYDNEY AU -$32.30 $15,294.74</t>
  </si>
  <si>
    <t>Molly Tea Regent Plac Sydney AU</t>
  </si>
  <si>
    <t>Molly Tea Regent Plac Sydney</t>
  </si>
  <si>
    <t>12 Jun 2026 Molly Tea Regent Plac Sydney AU -$9.65 $15,285.09</t>
  </si>
  <si>
    <t>Fast Transfer From MYO MYO SO to PayID Phone Ramen TY!</t>
  </si>
  <si>
    <t>12 Jun 2026 Fast Transfer From MYO MYO SO $15.00 $15,300.09 | to PayID Phone | Ramen TY!</t>
  </si>
  <si>
    <t>12 Jun 2026 SQ *WINGMILL Dee Why AU -$46.00 $15,254.09</t>
  </si>
  <si>
    <t>LIQUORLAND 3626 DEE WHY AU</t>
  </si>
  <si>
    <t>LIQUORLAND 3626 DEE WHY</t>
  </si>
  <si>
    <t>fallback:liquor</t>
  </si>
  <si>
    <t>12 Jun 2026 LIQUORLAND 3626 DEE WHY AU -$22.00 $15,232.09</t>
  </si>
  <si>
    <t>Chargrill Dee Why Dee Why NS AUS</t>
  </si>
  <si>
    <t>Card xx2810 | Value Date: 11/06/2026</t>
  </si>
  <si>
    <t>Chargrill Dee Why Dee Why</t>
  </si>
  <si>
    <t>fallback:grill</t>
  </si>
  <si>
    <t>13 Jun 2026 Chargrill Dee Why Dee Why NS AUS -$22.13 $15,209.96 | Card xx2810 | Value Date: 11/06/2026</t>
  </si>
  <si>
    <t>13 Jun 2026 BITE* BBDEE WHY SANCROX NS AUS -$31.85 $15,178.11 | Card xx2810 | Value Date: 11/06/2026</t>
  </si>
  <si>
    <t>Card xx6220 | Value Date: 10/06/2026</t>
  </si>
  <si>
    <t>13 Jun 2026 AMAZON AU MARKETPLACE SYDNEY AUS -$35.02 $15,143.09 | Card xx6220 | Value Date: 10/06/2026</t>
  </si>
  <si>
    <t>Card xx0018 | Value Date: 11/06/2026</t>
  </si>
  <si>
    <t>13 Jun 2026 TRANSPORTFORNSW TAP SYDNEY AUS -$4.03 $15,139.06 | Card xx0018 | Value Date: 11/06/2026</t>
  </si>
  <si>
    <t>13 Jun 2026 COLES 0784 DEE WHY AU -$10.00 $15,129.06</t>
  </si>
  <si>
    <t>IGA DEE WHY L0347 DEE WHY NSW AU</t>
  </si>
  <si>
    <t>IGA DEE WHY L0347 DEE WHY</t>
  </si>
  <si>
    <t xml:space="preserve">fallback:iga </t>
  </si>
  <si>
    <t>13 Jun 2026 IGA DEE WHY L0347 DEE WHY NSW AU -$4.49 $15,124.57</t>
  </si>
  <si>
    <t>13 Jun 2026 COLES 0784 DEE WHY AU -$3.50 $15,121.07</t>
  </si>
  <si>
    <t>13 Jun 2026 COLES 0784 DEE WHY AU -$13.80 $15,107.27</t>
  </si>
  <si>
    <t>14 Jun 2026 SQ *SACREBLEU ! CANELE dee why AU -$19.09 $15,088.18</t>
  </si>
  <si>
    <t>14 Jun 2026 SQ *SACREBLEU ! CANELE dee why AU -$10.16 $15,078.02</t>
  </si>
  <si>
    <t>Direct Debit 545383 Telstra Services</t>
  </si>
  <si>
    <t>5scxam67</t>
  </si>
  <si>
    <t>fallback:telstra services</t>
  </si>
  <si>
    <t>15 Jun 2026 Direct Debit 545383 Telstra Services -$138.00 $14,940.02 | 5scxam67</t>
  </si>
  <si>
    <t>Card xx2810 | Value Date: 13/06/2026</t>
  </si>
  <si>
    <t>16 Jun 2026 LA DISPENSA DEE WHY AUS -$21.69 $14,918.33 | Card xx2810 | Value Date: 13/06/2026</t>
  </si>
  <si>
    <t>Cafe Plenty Dee Why NS AUS</t>
  </si>
  <si>
    <t>Cafe Plenty Dee Why</t>
  </si>
  <si>
    <t>16 Jun 2026 Cafe Plenty Dee Why NS AUS -$4.87 $14,913.46 | Card xx2810 | Value Date: 13/06/2026</t>
  </si>
  <si>
    <t>Card xx2810 | Value Date: 12/06/2026</t>
  </si>
  <si>
    <t>16 Jun 2026 COLES 0784 DEE WHY NS AUS -$26.00 $14,887.46 | Card xx2810 | Value Date: 12/06/2026</t>
  </si>
  <si>
    <t>Card xx0018 | Value Date: 14/06/2026</t>
  </si>
  <si>
    <t>16 Jun 2026 COLES 0784 DEE WHY NS AUS -$66.76 $14,820.70 | Card xx0018 | Value Date: 14/06/2026</t>
  </si>
  <si>
    <t>Card xx0018 | Value Date: 13/06/2026</t>
  </si>
  <si>
    <t>16 Jun 2026 TRANSPORTFORNSW TAP SYDNEY AUS -$4.03 $14,816.67 | Card xx0018 | Value Date: 13/06/2026</t>
  </si>
  <si>
    <t>THREDUP 6175759676 CA USA</t>
  </si>
  <si>
    <t>Card xx0018 USD 74.63 | Value Date: 13/06/2026</t>
  </si>
  <si>
    <t>ThredUp</t>
  </si>
  <si>
    <t>contains:THREDUP</t>
  </si>
  <si>
    <t>16 Jun 2026 THREDUP 6175759676 CA USA -$106.87 $14,709.80 | Card xx0018 USD 74.63 | Value Date: 13/06/2026</t>
  </si>
  <si>
    <t>Value Date: 13/06/2026</t>
  </si>
  <si>
    <t>16 Jun 2026 International Transaction Fee -$3.74 $14,706.06 | Value Date: 13/06/2026</t>
  </si>
  <si>
    <t>Guzman Y Gomez Franch Surry Hills NS AUS</t>
  </si>
  <si>
    <t>Guzman Y Gomez Franch Surry Hills</t>
  </si>
  <si>
    <t>16 Jun 2026 Guzman Y Gomez Franch Surry Hills NS AUS -$16.90 $14,689.16 | Card xx0018 | Value Date: 13/06/2026</t>
  </si>
  <si>
    <t>Card xx0018 | Value Date: 12/06/2026</t>
  </si>
  <si>
    <t>16 Jun 2026 FLYING HAT SYDNEY AUS -$6.07 $14,683.09 | Card xx0018 | Value Date: 12/06/2026</t>
  </si>
  <si>
    <t>EJ FAMILY TRUST SYDNEY NS AUS</t>
  </si>
  <si>
    <t>EJ FAMILY TRUST SYDNEY</t>
  </si>
  <si>
    <t>16 Jun 2026 EJ FAMILY TRUST SYDNEY NS AUS -$19.21 $14,663.88 | Card xx0018 | Value Date: 12/06/2026</t>
  </si>
  <si>
    <t>GARDENIA ESPRESSO SYDNEY NS AUS</t>
  </si>
  <si>
    <t>GARDENIA ESPRESSO SYDNEY</t>
  </si>
  <si>
    <t>16 Jun 2026 GARDENIA ESPRESSO SYDNEY NS AUS -$8.00 $14,655.88 | Card xx0018 | Value Date: 12/06/2026</t>
  </si>
  <si>
    <t>SQ *ALL PURPOSE BAKERY Sydney AU</t>
  </si>
  <si>
    <t>ALL PURPOSE BAKERY Sydney</t>
  </si>
  <si>
    <t>fallback:bakery</t>
  </si>
  <si>
    <t>16 Jun 2026 SQ *ALL PURPOSE BAKERY Sydney AU -$9.09 $14,646.79</t>
  </si>
  <si>
    <t>16 Jun 2026 SQ *KAHII Sydney AU -$7.10 $14,639.69</t>
  </si>
  <si>
    <t>16 Jun 2026 SQ *WINGMILL Dee Why AU -$45.00 $14,594.69</t>
  </si>
  <si>
    <t>Card xx2810 | Value Date: 15/06/2026</t>
  </si>
  <si>
    <t>17 Jun 2026 BITE* BBDEE WHY SANCROX NS AUS -$25.75 $14,568.94 | Card xx2810 | Value Date: 15/06/2026</t>
  </si>
  <si>
    <t>17 Jun 2026 MAO SHENG ASIAN SUPE DEE WHY AUS -$4.91 $14,564.03 | Card xx0018 | Value Date: 13/06/2026</t>
  </si>
  <si>
    <t>17 Jun 2026 SQ *ALL PURPOSE BAKERY Sydney AU -$4.24 $14,559.79</t>
  </si>
  <si>
    <t>17 Jun 2026 SQ *KAHII Sydney AU -$7.10 $14,552.69</t>
  </si>
  <si>
    <t>SQ *CHUBBY CUBBY CAFE Melrose Park AU</t>
  </si>
  <si>
    <t>CHUBBY CUBBY CAFE Melrose Park</t>
  </si>
  <si>
    <t>17 Jun 2026 SQ *CHUBBY CUBBY CAFE Melrose Park AU -$9.65 $14,543.04</t>
  </si>
  <si>
    <t>17 Jun 2026 SMP*Hero Sushi Dee Why Dee Why02 AU -$5.05 $14,537.99</t>
  </si>
  <si>
    <t>AMBITIONS_UiRcT5t9</t>
  </si>
  <si>
    <t>17 Jun 2026 Direct Debit 507156 MBAUDPayments -$68.00 $14,469.99 | AMBITIONS_UiRcT5t9</t>
  </si>
  <si>
    <t>Card xx6220 | Value Date: 16/06/2026</t>
  </si>
  <si>
    <t>18 Jun 2026 AMAZON AU MARKETPLACE SYDNEY AUS -$31.65 $14,438.34 | Card xx6220 | Value Date: 16/06/2026</t>
  </si>
  <si>
    <t>Card xx0018 | Value Date: 16/06/2026</t>
  </si>
  <si>
    <t>18 Jun 2026 HUNGRYPANDA AU PRAHRAN VI AUS -$16.39 $14,421.95 | Card xx0018 | Value Date: 16/06/2026</t>
  </si>
  <si>
    <t>18 Jun 2026 DEFT REAL ESTATE NetBank BPAY 4481 -$1,720.00 $12,701.95 | 0053436473 Rent may 9 to 23</t>
  </si>
  <si>
    <t>18 Jun 2026 SMP*Hero Sushi Dee Why Dee Why02 AU -$6.26 $12,695.69</t>
  </si>
  <si>
    <t>18 Jun 2026 COLES 0784 DEE WHY AU -$15.45 $12,680.24</t>
  </si>
  <si>
    <t>Card xx2810 | Value Date: 17/06/2026</t>
  </si>
  <si>
    <t>19 Jun 2026 COLES 0784 DEE WHY NS AUS -$32.19 $12,648.05 | Card xx2810 | Value Date: 17/06/2026</t>
  </si>
  <si>
    <t>Card xx6220 | Value Date: 17/06/2026</t>
  </si>
  <si>
    <t>19 Jun 2026 AMAZON AU MARKETPLACE SYDNEY AUS -$62.99 $12,585.06 | Card xx6220 | Value Date: 17/06/2026</t>
  </si>
  <si>
    <t>NETFLIX.COM Melbourne AU AUS</t>
  </si>
  <si>
    <t>Card xx0018 | Value Date: 18/06/2026</t>
  </si>
  <si>
    <t>NETFLIX.COM Melbourne</t>
  </si>
  <si>
    <t>fallback:netflix</t>
  </si>
  <si>
    <t>19 Jun 2026 NETFLIX.COM Melbourne AU AUS -$9.99 $12,575.07 | Card xx0018 | Value Date: 18/06/2026</t>
  </si>
  <si>
    <t>Transfer To hannah shi CommBank App _</t>
  </si>
  <si>
    <t>Transfer To hannah shi CommBank App</t>
  </si>
  <si>
    <t>19 Jun 2026 Transfer To hannah shi -$10.00 $12,565.07 | CommBank App _</t>
  </si>
  <si>
    <t>Flappy's Fried Chicke Sydney AU</t>
  </si>
  <si>
    <t>Flappy's Fried Chicke Sydney</t>
  </si>
  <si>
    <t>fallback:flappy</t>
  </si>
  <si>
    <t>19 Jun 2026 Flappy's Fried Chicke Sydney AU -$21.00 $12,544.07</t>
  </si>
  <si>
    <t>19 Jun 2026 SQ *WINGMILL Dee Why AU -$54.00 $12,490.07</t>
  </si>
  <si>
    <t>WEI AND HONG PTY LTD DEE WHY AU AUS</t>
  </si>
  <si>
    <t>Card xx2810 | Value Date: 18/06/2026</t>
  </si>
  <si>
    <t>WEI AND HONG PTY LTD DEE WHY</t>
  </si>
  <si>
    <t>20 Jun 2026 WEI AND HONG PTY LTD DEE WHY AU AUS -$5.08 $12,484.99 | Card xx2810 | Value Date: 18/06/2026</t>
  </si>
  <si>
    <t>20 Jun 2026 AMAZON AU MARKETPLACE SYDNEY AUS -$29.99 $12,455.00 | Card xx6220 | Value Date: 17/06/2026</t>
  </si>
  <si>
    <t>20 Jun 2026 FLYING HAT SYDNEY AUS -$10.62 $12,444.38 | Card xx0018 | Value Date: 18/06/2026</t>
  </si>
  <si>
    <t>FOOD ONLINE KYNETON VI AUS</t>
  </si>
  <si>
    <t>FOOD ONLINE KYNETON</t>
  </si>
  <si>
    <t>fallback:food</t>
  </si>
  <si>
    <t>20 Jun 2026 FOOD ONLINE KYNETON VI AUS -$36.85 $12,407.53 | Card xx0018 | Value Date: 18/06/2026</t>
  </si>
  <si>
    <t>20 Jun 2026 HUNGRYPANDA AU PRAHRAN VI AUS -$16.76 $12,390.77 | Card xx0018 | Value Date: 18/06/2026</t>
  </si>
  <si>
    <t>SQ *LITTLE OAK Kurraba Point AU</t>
  </si>
  <si>
    <t>LITTLE OAK Kurraba Point</t>
  </si>
  <si>
    <t>20 Jun 2026 SQ *LITTLE OAK Kurraba Point AU -$4.88 $12,385.89</t>
  </si>
  <si>
    <t>SQ *DOM CHAN WORLD Crows nest AU</t>
  </si>
  <si>
    <t>DOM CHAN WORLD Crows nest</t>
  </si>
  <si>
    <t>20 Jun 2026 SQ *DOM CHAN WORLD Crows nest AU -$5.08 $12,380.81</t>
  </si>
  <si>
    <t>SQ *SINCERELY YOURS HO Artarmon AU</t>
  </si>
  <si>
    <t>SINCERELY YOURS HO Artarmon</t>
  </si>
  <si>
    <t>20 Jun 2026 SQ *SINCERELY YOURS HO Artarmon AU -$20.00 $12,360.81</t>
  </si>
  <si>
    <t>SQ *HARUKI MORI PHOTOG Artarmon AU</t>
  </si>
  <si>
    <t>HARUKI MORI PHOTOG Artarmon</t>
  </si>
  <si>
    <t>20 Jun 2026 SQ *HARUKI MORI PHOTOG Artarmon AU -$9.65 $12,351.16</t>
  </si>
  <si>
    <t>SQ *CINCIN BEVERAGES Artarmon AU</t>
  </si>
  <si>
    <t>CINCIN BEVERAGES Artarmon</t>
  </si>
  <si>
    <t>20 Jun 2026 SQ *CINCIN BEVERAGES Artarmon AU -$27.00 $12,324.16</t>
  </si>
  <si>
    <t>20 Jun 2026 COLES 0784 DEE WHY AU -$18.65 $12,305.51</t>
  </si>
  <si>
    <t>21 Jun 2026 SQ *SACREBLEU ! CANELE dee why AU -$27.72 $12,277.79</t>
  </si>
  <si>
    <t>21 Jun 2026 IGA DEE WHY L0347 DEE WHY NSW AU -$4.49 $12,273.30</t>
  </si>
  <si>
    <t>THE REJECT SHOP A100 BROOKVALE AU</t>
  </si>
  <si>
    <t>THE REJECT SHOP A100 BROOKVALE</t>
  </si>
  <si>
    <t>fallback:reject shop</t>
  </si>
  <si>
    <t>21 Jun 2026 THE REJECT SHOP A100 BROOKVALE AU -$3.00 $12,270.30</t>
  </si>
  <si>
    <t>22 Jun 2026 SQ *SALUMERIE - SYDNEY Sydney AU -$4.57 $12,265.73</t>
  </si>
  <si>
    <t>SQ *TOASTIESMITH TGV Sydney AU</t>
  </si>
  <si>
    <t>TOASTIESMITH TGV Sydney</t>
  </si>
  <si>
    <t>22 Jun 2026 SQ *TOASTIESMITH TGV Sydney AU -$9.64 $12,256.09</t>
  </si>
  <si>
    <t>TIYEB STORE PTY LTD SYDNEY NSWAU</t>
  </si>
  <si>
    <t>fallback:tiyeb store</t>
  </si>
  <si>
    <t>22 Jun 2026 TIYEB STORE PTY LTD SYDNEY NSWAU -$4.03 $12,252.06</t>
  </si>
  <si>
    <t>22 Jun 2026 SMP*Hero Sushi Dee Why Dee Why02 AU -$10.10 $12,241.96</t>
  </si>
  <si>
    <t>Card xx6220 | Value Date: 19/06/2026</t>
  </si>
  <si>
    <t>23 Jun 2026 TRANSPORTFORNSW OPAL CHIPPENDALE AUS -$60.00 $12,181.96 | Card xx6220 | Value Date: 19/06/2026</t>
  </si>
  <si>
    <t>Card xx2810 | Value Date: 19/06/2026</t>
  </si>
  <si>
    <t>23 Jun 2026 COLES 0784 DEE WHY NS AUS -$49.20 $12,132.76 | Card xx2810 | Value Date: 19/06/2026</t>
  </si>
  <si>
    <t>SQ *WB PROJECT AUSTRAL Artarmon NS AUS</t>
  </si>
  <si>
    <t>Card xx2810 | Value Date: 20/06/2026</t>
  </si>
  <si>
    <t>WB PROJECT AUSTRAL Artarmon</t>
  </si>
  <si>
    <t>23 Jun 2026 SQ *WB PROJECT AUSTRAL Artarmon NS AUS -$23.00 $12,109.76 | Card xx2810 | Value Date: 20/06/2026</t>
  </si>
  <si>
    <t>23 Jun 2026 BITE* BBDEE WHY SANCROX NS AUS -$31.85 $12,077.91 | Card xx2810 | Value Date: 20/06/2026</t>
  </si>
  <si>
    <t>AIRBNB * HMWTP5ERFX 4158005959 AU AUS</t>
  </si>
  <si>
    <t>Card xx0018 | Value Date: 21/06/2026</t>
  </si>
  <si>
    <t>Airbnb</t>
  </si>
  <si>
    <t>contains:AIRBNB</t>
  </si>
  <si>
    <t>23 Jun 2026 AIRBNB * HMWTP5ERFX 4158005959 AU AUS -$1,382.00 $10,695.91 | Card xx0018 | Value Date: 21/06/2026</t>
  </si>
  <si>
    <t>LS Three Beans Warring Brookvale AU AUS</t>
  </si>
  <si>
    <t>Three Beans Warring Brookvale</t>
  </si>
  <si>
    <t>23 Jun 2026 LS Three Beans Warring Brookvale AU AUS -$4.97 $10,690.94 | Card xx0018 | Value Date: 21/06/2026</t>
  </si>
  <si>
    <t>23 Jun 2026 COLES 0784 DEE WHY NS AUS -$32.51 $10,658.43 | Card xx0018 | Value Date: 21/06/2026</t>
  </si>
  <si>
    <t>Card xx0018 | Value Date: 20/06/2026</t>
  </si>
  <si>
    <t>23 Jun 2026 TRANSPORTFORNSW TAP SYDNEY AUS -$4.03 $10,654.40 | Card xx0018 | Value Date: 20/06/2026</t>
  </si>
  <si>
    <t>LS Kuertosh Crows Nest Crows Nest AU AUS</t>
  </si>
  <si>
    <t>Kuertosh Crows Nest Crows Nest</t>
  </si>
  <si>
    <t>23 Jun 2026 LS Kuertosh Crows Nest Crows Nest AU AUS -$18.71 $10,635.69 | Card xx0018 | Value Date: 20/06/2026</t>
  </si>
  <si>
    <t>ALH VENUES 8733 CROWS NEST NS AUS</t>
  </si>
  <si>
    <t>ALH VENUES 8733 CROWS NEST</t>
  </si>
  <si>
    <t>23 Jun 2026 ALH VENUES 8733 CROWS NEST NS AUS -$36.20 $10,599.49 | Card xx0018 | Value Date: 20/06/2026</t>
  </si>
  <si>
    <t>Krispy Kreme T2 T2 Domestic TAU</t>
  </si>
  <si>
    <t>Krispy Kreme</t>
  </si>
  <si>
    <t>contains:KRISPY KREME</t>
  </si>
  <si>
    <t>23 Jun 2026 Krispy Kreme T2 T2 Domestic TAU -$10.95 $10,588.54</t>
  </si>
  <si>
    <t>23 Jun 2026 SMP*Hero Sushi Dee Why Dee Why02 AU -$7.58 $10,580.96</t>
  </si>
  <si>
    <t>23 Jun 2026 COLES 0784 DEE WHY AU -$18.39 $10,562.57</t>
  </si>
  <si>
    <t>DEE WHY LIBRARY DEE WHY AUS</t>
  </si>
  <si>
    <t>Card xx2810 | Value Date: 22/06/2026</t>
  </si>
  <si>
    <t>Dee Why Library</t>
  </si>
  <si>
    <t>contains:DEE WHY LIBRARY</t>
  </si>
  <si>
    <t>24 Jun 2026 DEE WHY LIBRARY DEE WHY AUS -$0.90 $10,561.67 | Card xx2810 | Value Date: 22/06/2026</t>
  </si>
  <si>
    <t>24 Jun 2026 WEI AND HONG PTY LTD DEE WHY AU AUS -$5.08 $10,556.59 | Card xx2810 | Value Date: 22/06/2026</t>
  </si>
  <si>
    <t>SMT SSR PTY LTD BROOKVALE AUS</t>
  </si>
  <si>
    <t>SMT SSR PTY LTD BROOKVALE</t>
  </si>
  <si>
    <t>24 Jun 2026 SMT SSR PTY LTD BROOKVALE AUS -$45.45 $10,511.14 | Card xx0018 | Value Date: 21/06/2026</t>
  </si>
  <si>
    <t>SUSHI HON SYDNEY NS AUS</t>
  </si>
  <si>
    <t>Card xx0018 | Value Date: 22/06/2026</t>
  </si>
  <si>
    <t>SUSHI HON SYDNEY</t>
  </si>
  <si>
    <t>24 Jun 2026 SUSHI HON SYDNEY NS AUS -$10.22 $10,500.92 | Card xx0018 | Value Date: 22/06/2026</t>
  </si>
  <si>
    <t>CHEMIST WAREHOUSE DEE WHY NS AUS</t>
  </si>
  <si>
    <t>CHEMIST WAREHOUSE DEE WHY</t>
  </si>
  <si>
    <t>fallback:chemist warehouse</t>
  </si>
  <si>
    <t>24 Jun 2026 CHEMIST WAREHOUSE DEE WHY NS AUS -$10.47 $10,490.45 | Card xx0018 | Value Date: 21/06/2026</t>
  </si>
  <si>
    <t>24 Jun 2026 Guzman Y Gomez Franch Surry Hills NS AUS -$16.90 $10,473.55 | Card xx0018 | Value Date: 22/06/2026</t>
  </si>
  <si>
    <t>On Sportswear Melbourne AU AUS</t>
  </si>
  <si>
    <t>On</t>
  </si>
  <si>
    <t>contains:ON SPORTSWEAR</t>
  </si>
  <si>
    <t>24 Jun 2026 On Sportswear Melbourne AU AUS -$150.00 $10,323.55 | Card xx0018 | Value Date: 21/06/2026</t>
  </si>
  <si>
    <t>SQ *UMEE CAFE Melbourne AU</t>
  </si>
  <si>
    <t>UMEE CAFE Melbourne</t>
  </si>
  <si>
    <t>24 Jun 2026 SQ *UMEE CAFE Melbourne AU -$9.14 $10,314.41</t>
  </si>
  <si>
    <t>SQ *TWIST ESPRESSO &amp; W Dee Why AU</t>
  </si>
  <si>
    <t>TWIST ESPRESSO &amp; W Dee Why</t>
  </si>
  <si>
    <t>24 Jun 2026 SQ *TWIST ESPRESSO &amp; W Dee Why AU -$21.27 $10,293.14</t>
  </si>
  <si>
    <t>SQ *ROYAL COPENHAGEN D Dee Why AU</t>
  </si>
  <si>
    <t>ROYAL COPENHAGEN D Dee Why</t>
  </si>
  <si>
    <t>fallback:royal copenhagen</t>
  </si>
  <si>
    <t>24 Jun 2026 SQ *ROYAL COPENHAGEN D Dee Why AU -$5.08 $10,288.06</t>
  </si>
  <si>
    <t>The Hardware Societe Melbourne AU</t>
  </si>
  <si>
    <t>The Hardware Societe Melbourne</t>
  </si>
  <si>
    <t>24 Jun 2026 The Hardware Societe Melbourne AU -$19.06 $10,269.00</t>
  </si>
  <si>
    <t>DD *DOORDASH FLINDERSK</t>
  </si>
  <si>
    <t>DoorDash</t>
  </si>
  <si>
    <t>contains:DOORDASH</t>
  </si>
  <si>
    <t>24 Jun 2026 DD *DOORDASH FLINDERSK -$11.24 $10,257.76</t>
  </si>
  <si>
    <t>SP MIJ AUS MIJ.COM.AU Mornington AU</t>
  </si>
  <si>
    <t>MIJ MIJ.COM. Mornington</t>
  </si>
  <si>
    <t>fallback:sp mij aus</t>
  </si>
  <si>
    <t>24 Jun 2026 SP MIJ AUS MIJ.COM.AU Mornington AU -$48.00 $10,209.76</t>
  </si>
  <si>
    <t>ZLR*Tanghulu melbourne AU</t>
  </si>
  <si>
    <t>Tanghulu melbourne</t>
  </si>
  <si>
    <t>24 Jun 2026 ZLR*Tanghulu melbourne AU -$8.67 $10,201.09</t>
  </si>
  <si>
    <t>AMBITIONS_Um4CU79d</t>
  </si>
  <si>
    <t>24 Jun 2026 Direct Debit 507156 MBAUDPayments -$68.00 $10,133.09 | AMBITIONS_Um4CU79d</t>
  </si>
  <si>
    <t>Google Claude by Anth Barangaroo AU AUS</t>
  </si>
  <si>
    <t>Card xx2810 | Value Date: 23/06/2026</t>
  </si>
  <si>
    <t>Claude</t>
  </si>
  <si>
    <t>contains:GOOGLE CLAUDE BY ANTH</t>
  </si>
  <si>
    <t>25 Jun 2026 Google Claude by Anth Barangaroo AU AUS -$33.99 $10,099.10 | Card xx2810 | Value Date: 23/06/2026</t>
  </si>
  <si>
    <t>Card xx6220 | Value Date: 22/06/2026</t>
  </si>
  <si>
    <t>25 Jun 2026 AMAZON AU MARKETPLACE SYDNEY AUS -$15.99 $10,083.11 | Card xx6220 | Value Date: 22/06/2026</t>
  </si>
  <si>
    <t>UBER *TRIP HELP.UBER.C Sydney AU AUS</t>
  </si>
  <si>
    <t>Card xx0018 | Value Date: 23/06/2026</t>
  </si>
  <si>
    <t>UBER *TRIP HELP.UBER.C Sydney</t>
  </si>
  <si>
    <t>fallback:uber *trip</t>
  </si>
  <si>
    <t>25 Jun 2026 UBER *TRIP HELP.UBER.C Sydney AU AUS -$77.83 $10,005.28 | Card xx0018 | Value Date: 23/06/2026</t>
  </si>
  <si>
    <t>25 Jun 2026 UBER *TRIP HELP.UBER.C Sydney AU AUS -$5.00 $10,000.28 | Card xx0018 | Value Date: 23/06/2026</t>
  </si>
  <si>
    <t>25 Jun 2026 UBER *TRIP HELP.UBER.C Sydney AU AUS -$62.35 $9,937.93 | Card xx0018 | Value Date: 23/06/2026</t>
  </si>
  <si>
    <t>DD *DOORDASH FATBOYSPH MELBOURNE VI AUS</t>
  </si>
  <si>
    <t>25 Jun 2026 DD *DOORDASH FATBOYSPH MELBOURNE VI AUS -$23.90 $9,914.03 | Card xx0018 | Value Date: 23/06/2026</t>
  </si>
  <si>
    <t>7-ELEVEN 1213 MELBOURNE VI AUS</t>
  </si>
  <si>
    <t>7-ELEVEN 1213 MELBOURNE</t>
  </si>
  <si>
    <t>25 Jun 2026 7-ELEVEN 1213 MELBOURNE VI AUS -$7.10 $9,906.93 | Card xx0018 | Value Date: 23/06/2026</t>
  </si>
  <si>
    <t>UBER *EATS HELP.UBER.C Sydney AU AUS</t>
  </si>
  <si>
    <t>Uber Eats</t>
  </si>
  <si>
    <t>contains:UBER *EATS</t>
  </si>
  <si>
    <t>25 Jun 2026 UBER *EATS HELP.UBER.C Sydney AU AUS -$38.65 $9,868.28 | Card xx0018 | Value Date: 23/06/2026</t>
  </si>
  <si>
    <t>Meriton Suites Melbour Melbourne AU AUS</t>
  </si>
  <si>
    <t>Meriton Suites Melbour Melbourne</t>
  </si>
  <si>
    <t>fallback:meriton suites</t>
  </si>
  <si>
    <t>25 Jun 2026 Meriton Suites Melbour Melbourne AU AUS -$478.18 $9,390.10 | Card xx0018 | Value Date: 23/06/2026</t>
  </si>
  <si>
    <t>25 Jun 2026 SQ *UMEE CAFE Melbourne AU -$18.80 $9,371.30</t>
  </si>
  <si>
    <t>25 Jun 2026 SMP*Hero Sushi Dee Why Dee Why02 AU -$15.35 $9,355.95</t>
  </si>
  <si>
    <t>25 Jun 2026 SQ *UMEE CAFE Melbourne AU -$9.14 $9,346.81</t>
  </si>
  <si>
    <t>Boost Melb Airport T4 Tullamarine AU</t>
  </si>
  <si>
    <t>Boost Melb Airport T4 Tullamarine</t>
  </si>
  <si>
    <t>25 Jun 2026 Boost Melb Airport T4 Tullamarine AU -$11.38 $9,335.43</t>
  </si>
  <si>
    <t>13CABS 132227 ALEXANDRIA AU</t>
  </si>
  <si>
    <t>13cabs</t>
  </si>
  <si>
    <t>contains:13CABS</t>
  </si>
  <si>
    <t>25 Jun 2026 13CABS 132227 ALEXANDRIA AU -$122.80 $9,212.63</t>
  </si>
  <si>
    <t>EZYPAYID_100717790</t>
  </si>
  <si>
    <t>25 Jun 2026 Direct Debit 518073 Crunch Fitness - -$30.90 $9,181.73 | EZYPAYID_100717790</t>
  </si>
  <si>
    <t>EZYPAYID_100717413</t>
  </si>
  <si>
    <t>25 Jun 2026 Direct Debit 518073 Crunch Fitness - -$22.90 $9,158.83 | EZYPAYID_100717413</t>
  </si>
  <si>
    <t>Card xx6220 | Value Date: 23/06/2026</t>
  </si>
  <si>
    <t>26 Jun 2026 AMAZON AU MARKETPLACE SYDNEY AUS -$34.05 $9,124.78 | Card xx6220 | Value Date: 23/06/2026</t>
  </si>
  <si>
    <t>Relay Mascot NS AUS</t>
  </si>
  <si>
    <t>Relay Mascot</t>
  </si>
  <si>
    <t>26 Jun 2026 Relay Mascot NS AUS -$6.58 $9,118.20 | Card xx0018 | Value Date: 23/06/2026</t>
  </si>
  <si>
    <t>QUEEN AND BOURKE PHARM MELBOURNE VI AUS</t>
  </si>
  <si>
    <t>Queen &amp; Bourke Pharmacy</t>
  </si>
  <si>
    <t>contains:QUEEN AND BOURKE PHARM</t>
  </si>
  <si>
    <t>26 Jun 2026 QUEEN AND BOURKE PHARM MELBOURNE VI AUS -$33.69 $9,084.51 | Card xx0018 | Value Date: 23/06/2026</t>
  </si>
  <si>
    <t>7-ELEVEN 1147 MELBOURNE VI AUS</t>
  </si>
  <si>
    <t>Card xx0018 | Value Date: 24/06/2026</t>
  </si>
  <si>
    <t>7-ELEVEN 1147 MELBOURNE</t>
  </si>
  <si>
    <t>26 Jun 2026 7-ELEVEN 1147 MELBOURNE VI AUS -$3.40 $9,081.11 | Card xx0018 | Value Date: 24/06/2026</t>
  </si>
  <si>
    <t>26 Jun 2026 UBER *TRIP HELP.UBER.C Sydney AU AUS -$12.82 $9,068.29 | Card xx0018 | Value Date: 24/06/2026</t>
  </si>
  <si>
    <t>26 Jun 2026 UBER *EATS HELP.UBER.C Sydney AU AUS -$48.13 $9,020.16 | Card xx0018 | Value Date: 24/06/2026</t>
  </si>
  <si>
    <t>26 Jun 2026 SQ *KAHII Sydney AU -$7.10 $9,013.06</t>
  </si>
  <si>
    <t>26 Jun 2026 SQ *WINGMILL Dee Why AU -$55.00 $8,958.06</t>
  </si>
  <si>
    <t>THE UNI OF SYDNEY THE UNIVERSIT NS AUS</t>
  </si>
  <si>
    <t>Card xx2810 | Value Date: 25/06/2026</t>
  </si>
  <si>
    <t>University of Sydney</t>
  </si>
  <si>
    <t>contains:THE UNI OF SYDNEY</t>
  </si>
  <si>
    <t>27 Jun 2026 THE UNI OF SYDNEY THE UNIVERSIT NS AUS -$150.45 $8,807.61 | Card xx2810 | Value Date: 25/06/2026</t>
  </si>
  <si>
    <t>27 Jun 2026 COLES 0784 DEE WHY NS AUS -$35.60 $8,772.01 | Card xx2810 | Value Date: 25/06/2026</t>
  </si>
  <si>
    <t>Card xx0018 | Value Date: 25/06/2026</t>
  </si>
  <si>
    <t>27 Jun 2026 UBER *TRIP HELP.UBER.C Sydney AU AUS -$5.00 $8,767.01 | Card xx0018 | Value Date: 25/06/2026</t>
  </si>
  <si>
    <t>27 Jun 2026 Guzman Y Gomez Franch Surry Hills NS AUS -$11.20 $8,755.81 | Card xx0018 | Value Date: 25/06/2026</t>
  </si>
  <si>
    <t>27 Jun 2026 UBER *TRIP HELP.UBER.C Sydney AU AUS -$51.76 $8,704.05 | Card xx0018 | Value Date: 25/06/2026</t>
  </si>
  <si>
    <t>27 Jun 2026 SQ *SACREBLEU ! CANELE dee why AU -$8.93 $8,695.12</t>
  </si>
  <si>
    <t>SQ *WHEELER HEIGHTS BA WEST PYMBLE AU</t>
  </si>
  <si>
    <t>WHEELER HEIGHTS BA WEST PYMBLE</t>
  </si>
  <si>
    <t>27 Jun 2026 SQ *WHEELER HEIGHTS BA WEST PYMBLE AU -$10.14 $8,684.98</t>
  </si>
  <si>
    <t>27 Jun 2026 LIQUORLAND 3626 DEE WHY AU -$20.00 $8,664.98</t>
  </si>
  <si>
    <t>27 Jun 2026 COLES 0784 DEE WHY AU -$2.60 $8,662.38</t>
  </si>
  <si>
    <t>27 Jun 2026 COLES 0784 DEE WHY AU -$3.50 $8,658.88</t>
  </si>
  <si>
    <t>28 Jun 2026 SQ *SACREBLEU ! CANELE dee why AU -$23.15 $8,635.73</t>
  </si>
  <si>
    <t>28 Jun 2026 SQ *DY LOCAL Dee Why AU -$8.67 $8,627.06</t>
  </si>
  <si>
    <t>28 Jun 2026 IGA DEE WHY L0347 DEE WHY NSW AU -$4.49 $8,622.57</t>
  </si>
  <si>
    <t>SQ *CLARENCE ST COMMON Sydney AU</t>
  </si>
  <si>
    <t>CLARENCE ST COMMON Sydney</t>
  </si>
  <si>
    <t>29 Jun 2026 SQ *CLARENCE ST COMMON Sydney AU -$5.50 $8,617.07</t>
  </si>
  <si>
    <t>29 Jun 2026 MUJI RETAIL (AUSTRAL SYDNEY AU -$28.80 $8,588.27</t>
  </si>
  <si>
    <t>Direct Credit 158824 AMAZON COMML SEV</t>
  </si>
  <si>
    <t>PDY003911149872</t>
  </si>
  <si>
    <t>29 Jun 2026 Direct Credit 158824 AMAZON COMML SEV $10,213.18 $18,801.45 | PDY003911149872</t>
  </si>
  <si>
    <t>Card xx2810 | Value Date: 28/06/2026</t>
  </si>
  <si>
    <t>30 Jun 2026 BITE* BBDEE WHY SANCROX NS AUS -$27.78 $18,773.67 | Card xx2810 | Value Date: 28/06/2026</t>
  </si>
  <si>
    <t>Silvios Cafe Cucina Wheeler Heigh AU AUS</t>
  </si>
  <si>
    <t>Card xx2810 | Value Date: 27/06/2026</t>
  </si>
  <si>
    <t>Silvios Cafe Cucina Wheeler Heigh</t>
  </si>
  <si>
    <t>30 Jun 2026 Silvios Cafe Cucina Wheeler Heigh AU AUS -$30.20 $18,743.47 | Card xx2810 | Value Date: 27/06/2026</t>
  </si>
  <si>
    <t>30 Jun 2026 COLES 0784 DEE WHY NS AUS -$91.71 $18,651.76 | Card xx2810 | Value Date: 27/06/2026</t>
  </si>
  <si>
    <t>LIQUORLAND 3626 DEE WHY NS AUS</t>
  </si>
  <si>
    <t>30 Jun 2026 LIQUORLAND 3626 DEE WHY NS AUS -$60.00 $18,591.76 | Card xx2810 | Value Date: 27/06/2026</t>
  </si>
  <si>
    <t>Card xx0018 | Value Date: 28/06/2026</t>
  </si>
  <si>
    <t>30 Jun 2026 WOOLWORTHS 1472 DEE WHY NS AUS -$33.40 $18,558.36 | Card xx0018 | Value Date: 28/06/2026</t>
  </si>
  <si>
    <t>TELLO MOBILE ATLANTA GA USA</t>
  </si>
  <si>
    <t>Card xx0018 USD 11.80 | Value Date: 26/06/2026</t>
  </si>
  <si>
    <t>TELLO MOBILE ATLANTA GA</t>
  </si>
  <si>
    <t>fallback:tello mobile</t>
  </si>
  <si>
    <t>30 Jun 2026 TELLO MOBILE ATLANTA GA USA -$17.15 $18,541.21 | Card xx0018 USD 11.80 | Value Date: 26/06/2026</t>
  </si>
  <si>
    <t>Value Date: 26/06/2026</t>
  </si>
  <si>
    <t>30 Jun 2026 International Transaction Fee -$0.60 $18,540.61 | Value Date: 26/06/2026</t>
  </si>
  <si>
    <t>Card xx0018 | Value Date: 26/06/2026</t>
  </si>
  <si>
    <t>30 Jun 2026 EJ FAMILY TRUST SYDNEY NS AUS -$8.09 $18,532.52 | Card xx0018 | Value Date: 26/06/2026</t>
  </si>
  <si>
    <t>30 Jun 2026 UBER *TRIP HELP.UBER.C Sydney AU AUS -$5.00 $18,527.52 | Card xx0018 | Value Date: 26/06/2026</t>
  </si>
  <si>
    <t>SQ *MEISTERSTUCK Sydney AU</t>
  </si>
  <si>
    <t>MEISTERSTUCK Sydney</t>
  </si>
  <si>
    <t>30 Jun 2026 SQ *MEISTERSTUCK Sydney AU -$9.00 $18,518.52</t>
  </si>
  <si>
    <t>30 Jun 2026 SQ *MEISTERSTUCK Sydney AU -$5.50 $18,513.02</t>
  </si>
  <si>
    <t>FCS003917842252</t>
  </si>
  <si>
    <t>30 Jun 2026 Direct Credit 158824 AMAZON COMMERCIA $957.03 $19,470.05 | FCS003917842252</t>
  </si>
  <si>
    <t>PhenThai SYDNEY AU</t>
  </si>
  <si>
    <t>PhenThai SYDNEY</t>
  </si>
  <si>
    <t>fallback:phenthai</t>
  </si>
  <si>
    <t>30 Jun 2026 PhenThai SYDNEY AU -$4.06 $19,465.99</t>
  </si>
  <si>
    <t>30 Jun 2026 SMP*Hero Sushi Dee Why Dee Why02 AU -$10.10 $19,455.89</t>
  </si>
  <si>
    <t>NEXGEN PHARMA CASTLE HILL NS AUS</t>
  </si>
  <si>
    <t>Card xx6220 | Value Date: 29/06/2026</t>
  </si>
  <si>
    <t>NEXGEN PHARMA CASTLE HILL</t>
  </si>
  <si>
    <t>fallback:nexgen pharma</t>
  </si>
  <si>
    <t>2026-07</t>
  </si>
  <si>
    <t>01 Jul 2026 NEXGEN PHARMA CASTLE HILL NS AUS -$160.00 $19,295.89 | Card xx6220 | Value Date: 29/06/2026</t>
  </si>
  <si>
    <t>Card xx0018 | Value Date: 29/06/2026</t>
  </si>
  <si>
    <t>01 Jul 2026 SUSHI HON SYDNEY NS AUS -$9.61 $19,286.28 | Card xx0018 | Value Date: 29/06/2026</t>
  </si>
  <si>
    <t>Industry Beans YorkSt Sydney NS AUS</t>
  </si>
  <si>
    <t>Industry Beans YorkSt Sydney</t>
  </si>
  <si>
    <t>01 Jul 2026 Industry Beans YorkSt Sydney NS AUS -$7.10 $19,279.18 | Card xx0018 | Value Date: 29/06/2026</t>
  </si>
  <si>
    <t>01 Jul 2026 Guzman Y Gomez Franch Surry Hills NS AUS -$16.90 $19,262.28 | Card xx0018 | Value Date: 29/06/2026</t>
  </si>
  <si>
    <t>01 Jul 2026 SQ *KAHII Sydney AU -$7.10 $19,255.18</t>
  </si>
  <si>
    <t>ZLR*Menya City Sydney AU</t>
  </si>
  <si>
    <t>Menya City Sydney</t>
  </si>
  <si>
    <t>01 Jul 2026 ZLR*Menya City Sydney AU -$22.21 $19,232.97</t>
  </si>
  <si>
    <t>01 Jul 2026 SQ *WINGMILL Dee Why AU -$47.00 $19,185.97</t>
  </si>
  <si>
    <t>Direct Debit 507156 MBAUDPayments AMBITIONS_UngmsoxZ</t>
  </si>
  <si>
    <t>01 Jul 2026 Direct Debit 507156 MBAUDPayments -$68.00 $19,117.97 | AMBITIONS_UngmsoxZ</t>
  </si>
  <si>
    <t>01 Jul 2026 Direct Debit 012495 GU HEALTH D/DBT -$139.08 $18,978.89 | 29497443</t>
  </si>
  <si>
    <t>CloudHausCafe Sydney AU AUS</t>
  </si>
  <si>
    <t>Card xx0018 | Value Date: 30/06/2026</t>
  </si>
  <si>
    <t>CloudHausCafe Sydney</t>
  </si>
  <si>
    <t>02 Jul 2026 CloudHausCafe Sydney AU AUS -$7.62 $18,971.27 | Card xx0018 | Value Date: 30/06/2026</t>
  </si>
  <si>
    <t>02 Jul 2026 COLES 0784 DEE WHY NS AUS -$41.60 $18,929.67 | Card xx0018 | Value Date: 30/06/2026</t>
  </si>
  <si>
    <t>02 Jul 2026 DEFT REAL ESTATE NetBank BPAY 4481 -$1,720.00 $17,209.67 | 0053436473 Rent may 9 to 23</t>
  </si>
  <si>
    <t>02 Jul 2026 SQ *PANINO PARADISO Sydney AU -$5.10 $17,204.57</t>
  </si>
  <si>
    <t>02 Jul 2026 SQ *PANINO PARADISO Sydney AU -$6.11 $17,198.46</t>
  </si>
  <si>
    <t>02 Jul 2026 SQ *CHINATOWN COUNTRY Sydney AU -$8.00 $17,190.46</t>
  </si>
  <si>
    <t>SUSHI N PLUS PTY LTD SYDNEY NSW AU</t>
  </si>
  <si>
    <t>SUSHI N PLUS PTY LTD SYDNEY</t>
  </si>
  <si>
    <t>02 Jul 2026 SUSHI N PLUS PTY LTD SYDNEY NSW AU -$10.12 $17,180.34</t>
  </si>
  <si>
    <t>Card xx2810 | Value Date: 01/07/2026</t>
  </si>
  <si>
    <t>03 Jul 2026 Chargrill Dee Why Dee Why NS AUS -$15.73 $17,164.61 | Card xx2810 | Value Date: 01/07/2026</t>
  </si>
  <si>
    <t>03 Jul 2026 COLES 0784 DEE WHY NS AUS -$68.25 $17,096.36 | Card xx2810 | Value Date: 01/07/2026</t>
  </si>
  <si>
    <t>SUSHI HUB TOWN HALL SYDNEY NS AUS</t>
  </si>
  <si>
    <t>SUSHI HUB TOWN HALL SYDNEY</t>
  </si>
  <si>
    <t>03 Jul 2026 SUSHI HUB TOWN HALL SYDNEY NS AUS -$9.70 $17,086.66 | Card xx0018 | Value Date: 30/06/2026</t>
  </si>
  <si>
    <t>MCDONALDS INTNATIONA MASCOT NSWAU</t>
  </si>
  <si>
    <t>fallback:mcdonald</t>
  </si>
  <si>
    <t>03 Jul 2026 MCDONALDS INTNATIONA MASCOT NSWAU -$11.40 $17,075.26</t>
  </si>
  <si>
    <t>WHSMITH SYDT1 ARRIVAL1 MASCOT AU</t>
  </si>
  <si>
    <t>WHSMITH SYDT1 ARRIVAL1 MASCOT</t>
  </si>
  <si>
    <t>03 Jul 2026 WHSMITH SYDT1 ARRIVAL1 MASCOT AU -$9.50 $17,065.76</t>
  </si>
  <si>
    <t>03 Jul 2026 SQ *SACREBLEU ! CANELE dee why AU -$23.66 $17,042.10</t>
  </si>
  <si>
    <t>03 Jul 2026 COLES 0784 DEE WHY AU -$22.90 $17,019.20</t>
  </si>
  <si>
    <t>Card xx6220 | Value Date: 01/07/2026</t>
  </si>
  <si>
    <t>04 Jul 2026 AMAZON AU MARKETPLACE SYDNEY AUS -$146.93 $16,872.27 | Card xx6220 | Value Date: 01/07/2026</t>
  </si>
  <si>
    <t>04 Jul 2026 AMAZON AU MARKETPLACE SYDNEY AUS -$61.69 $16,810.58 | Card xx6220 | Value Date: 01/07/2026</t>
  </si>
  <si>
    <t>04 Jul 2026 AMAZON AU MARKETPLACE SYDNEY AUS -$78.31 $16,732.27 | Card xx6220 | Value Date: 01/07/2026</t>
  </si>
  <si>
    <t>OOOSH Bakery MASCOT AUS</t>
  </si>
  <si>
    <t>Card xx0018 | Value Date: 03/07/2026</t>
  </si>
  <si>
    <t>OOOSH Bakery MASCOT</t>
  </si>
  <si>
    <t>04 Jul 2026 OOOSH Bakery MASCOT AUS -$13.72 $16,718.55 | Card xx0018 | Value Date: 03/07/2026</t>
  </si>
  <si>
    <t>Card xx0018 | Value Date: 01/07/2026</t>
  </si>
  <si>
    <t>04 Jul 2026 CHEMIST WAREHOUSE DEE WHY NS AUS -$8.99 $16,709.56 | Card xx0018 | Value Date: 01/07/2026</t>
  </si>
  <si>
    <t>Return CBCASHBACK*coles Rebate NS AUS</t>
  </si>
  <si>
    <t>Card xx2810 | Value Date: 02/07/2026</t>
  </si>
  <si>
    <t>Return CBCASHBACK*coles Rebate</t>
  </si>
  <si>
    <t>04 Jul 2026 Return CBCASHBACK*coles Rebate NS AUS $5.00 $16,714.56 | Card xx2810 | Value Date: 02/07/2026</t>
  </si>
  <si>
    <t>04 Jul 2026 COLES 0784 DEE WHY NS AUS -$39.66 $16,674.90 | Card xx2810 | Value Date: 02/07/2026</t>
  </si>
  <si>
    <t>FANTASEA PTY LTD SYDNEY AU</t>
  </si>
  <si>
    <t>FANTASEA PTY LTD SYDNEY</t>
  </si>
  <si>
    <t>fallback:fantasea</t>
  </si>
  <si>
    <t>04 Jul 2026 FANTASEA PTY LTD SYDNEY AU -$43.20 $16,631.70</t>
  </si>
  <si>
    <t>OEHTHEBASINCAMPGROUN PALM BEACH NSWAU</t>
  </si>
  <si>
    <t>04 Jul 2026 OEHTHEBASINCAMPGROUN PALM BEACH NSWAU -$12.00 $16,619.70</t>
  </si>
  <si>
    <t>04 Jul 2026 SQ *WINGMILL Dee Why AU -$143.00 $16,476.70</t>
  </si>
  <si>
    <t>M &amp; J TRADING UP PTY DEE WHY NSWAU</t>
  </si>
  <si>
    <t>05 Jul 2026 M &amp; J TRADING UP PTY DEE WHY NSWAU -$9.80 $16,466.90</t>
  </si>
  <si>
    <t>TK MAXX WARRINGAH BROOKVALE NSWAU</t>
  </si>
  <si>
    <t>fallback:tk maxx</t>
  </si>
  <si>
    <t>05 Jul 2026 TK MAXX WARRINGAH BROOKVALE NSWAU -$5.99 $16,460.91</t>
  </si>
  <si>
    <t>KMART 1378 BROOKVALE AU</t>
  </si>
  <si>
    <t>KMART 1378 BROOKVALE</t>
  </si>
  <si>
    <t>fallback:kmart</t>
  </si>
  <si>
    <t>05 Jul 2026 KMART 1378 BROOKVALE AU -$9.75 $16,451.16</t>
  </si>
  <si>
    <t>AirportRentals.com AIRPORTRENTALS.COM WP</t>
  </si>
  <si>
    <t>AirportRentals.com</t>
  </si>
  <si>
    <t>contains:AIRPORTRENTALS</t>
  </si>
  <si>
    <t>05 Jul 2026 AirportRentals.com AIRPORTRENTALS.COM WP -$94.12 $16,357.04</t>
  </si>
  <si>
    <t>06 Jul 2026 SQ *ROYAL COPENHAGEN D Dee Why AU -$14.22 $16,342.82</t>
  </si>
  <si>
    <t>ZLR*S2TOBYS Mascot AU</t>
  </si>
  <si>
    <t>S2TOBYS Mascot</t>
  </si>
  <si>
    <t>06 Jul 2026 ZLR*S2TOBYS Mascot AU -$7.14 $16,335.68</t>
  </si>
  <si>
    <t>BP LAUDERDALE 7051 LAUDERDALE AU</t>
  </si>
  <si>
    <t>BP</t>
  </si>
  <si>
    <t>contains:BP LAUDERDALE</t>
  </si>
  <si>
    <t>06 Jul 2026 BP LAUDERDALE 7051 LAUDERDALE AU -$16.80 $16,318.88</t>
  </si>
  <si>
    <t>Card xx2810 | Value Date: 06/07/2026</t>
  </si>
  <si>
    <t>07 Jul 2026 TRANSPORTFORNSW TAP SYDNEY AUS -$5.45 $16,313.43 | Card xx2810 | Value Date: 06/07/2026</t>
  </si>
  <si>
    <t>Sydney Airport Coffee Mascot NS AUS</t>
  </si>
  <si>
    <t>Card xx2810 | Value Date: 03/07/2026</t>
  </si>
  <si>
    <t>Sydney Airport Coffee Mascot</t>
  </si>
  <si>
    <t>fallback:coffee</t>
  </si>
  <si>
    <t>07 Jul 2026 Sydney Airport Coffee Mascot NS AUS -$5.86 $16,307.57 | Card xx2810 | Value Date: 03/07/2026</t>
  </si>
  <si>
    <t>Card xx0018 | Value Date: 05/07/2026</t>
  </si>
  <si>
    <t>07 Jul 2026 TRANSPORTFORNSW TAP SYDNEY AUS -$4.03 $16,303.54 | Card xx0018 | Value Date: 05/07/2026</t>
  </si>
  <si>
    <t>07 Jul 2026 Guzman Y Gomez Franch Surry Hills NS AUS -$50.10 $16,253.44 | Card xx0018 | Value Date: 05/07/2026</t>
  </si>
  <si>
    <t>Northern Beaches Counc Dee Why NS AUS</t>
  </si>
  <si>
    <t>Northern Beaches Counc Dee Why</t>
  </si>
  <si>
    <t>fallback:northern beaches counc</t>
  </si>
  <si>
    <t>07 Jul 2026 Northern Beaches Counc Dee Why NS AUS -$0.40 $16,253.04 | Card xx0018 | Value Date: 03/07/2026</t>
  </si>
  <si>
    <t>07 Jul 2026 COLES 0784 DEE WHY NS AUS -$36.85 $16,216.19 | Card xx0018 | Value Date: 03/07/2026</t>
  </si>
  <si>
    <t>LSP*Marys Dee Why Dee Why AU AUS</t>
  </si>
  <si>
    <t>Card xx0018 | Value Date: 04/07/2026</t>
  </si>
  <si>
    <t>Marys Dee Why Dee Why</t>
  </si>
  <si>
    <t>07 Jul 2026 LSP*Marys Dee Why Dee Why AU AUS -$69.10 $16,147.09 | Card xx0018 | Value Date: 04/07/2026</t>
  </si>
  <si>
    <t>07 Jul 2026 TRANSPORTFORNSW TAP SYDNEY AUS -$4.03 $16,143.06 | Card xx0018 | Value Date: 03/07/2026</t>
  </si>
  <si>
    <t>POST DEE WHY POST SHOP DEE WHY AUS</t>
  </si>
  <si>
    <t>POST DEE WHY POST SHOP DEE WHY</t>
  </si>
  <si>
    <t>fallback:post dee why</t>
  </si>
  <si>
    <t>07 Jul 2026 POST DEE WHY POST SHOP DEE WHY AUS -$43.60 $16,099.46 | Card xx0018 | Value Date: 03/07/2026</t>
  </si>
  <si>
    <t>Mantra 2 Bond St SA Sydney NS AUS</t>
  </si>
  <si>
    <t>Card xx0018 | Value Date: 02/07/2026</t>
  </si>
  <si>
    <t>Mantra</t>
  </si>
  <si>
    <t>contains:MANTRA 2 BOND</t>
  </si>
  <si>
    <t>07 Jul 2026 Mantra 2 Bond St SA Sydney NS AUS -$211.00 $15,888.46 | Card xx0018 | Value Date: 02/07/2026</t>
  </si>
  <si>
    <t>07 Jul 2026 UBER *TRIP HELP.UBER.C Sydney AU AUS -$5.00 $15,883.46 | Card xx0018 | Value Date: 03/07/2026</t>
  </si>
  <si>
    <t>07 Jul 2026 UBER *TRIP HELP.UBER.C Sydney AU AUS -$86.92 $15,796.54 | Card xx0018 | Value Date: 03/07/2026</t>
  </si>
  <si>
    <t>Ocean Sushi Dee Why NS AUS</t>
  </si>
  <si>
    <t>Ocean Sushi Dee Why</t>
  </si>
  <si>
    <t>07 Jul 2026 Ocean Sushi Dee Why NS AUS -$12.64 $15,783.90 | Card xx0018 | Value Date: 03/07/2026</t>
  </si>
  <si>
    <t>07 Jul 2026 UBER *TRIP HELP.UBER.C Sydney AU AUS -$136.83 $15,647.07 | Card xx0018 | Value Date: 03/07/2026</t>
  </si>
  <si>
    <t>JOHNNYGIOSPIZ* DEE WHY MARSDEN PARK NS AUS</t>
  </si>
  <si>
    <t>JOHNNYGIOSPIZ* DEE WHY MARSDEN PARK</t>
  </si>
  <si>
    <t>fallback:johnnygio</t>
  </si>
  <si>
    <t>07 Jul 2026 JOHNNYGIOSPIZ* DEE WHY MARSDEN PARK NS -$67.47 $15,579.60 | AUS | Card xx0018 | Value Date: 03/07/2026</t>
  </si>
  <si>
    <t>Card xx0018 USD 49.00 | Value Date: 03/07/2026</t>
  </si>
  <si>
    <t>07 Jul 2026 BEAUTYFASCIA SHERIDAN WY USA -$71.20 $15,508.40 | Card xx0018 USD 49.00 | Value Date: 03/07/2026</t>
  </si>
  <si>
    <t>Value Date: 02/07/2026</t>
  </si>
  <si>
    <t>07 Jul 2026 International Transaction Fee -$2.49 $15,505.91 | Value Date: 02/07/2026</t>
  </si>
  <si>
    <t>SQ *FOURHEARTS CAFE Bellerive AU</t>
  </si>
  <si>
    <t>FOURHEARTS CAFE Bellerive</t>
  </si>
  <si>
    <t>07 Jul 2026 SQ *FOURHEARTS CAFE Bellerive AU -$70.00 $15,435.91</t>
  </si>
  <si>
    <t>Card xx2810 | Value Date: 07/07/2026</t>
  </si>
  <si>
    <t>08 Jul 2026 TRANSPORTFORNSW TAP SYDNEY AUS -$3.30 $15,432.61 | Card xx2810 | Value Date: 07/07/2026</t>
  </si>
  <si>
    <t>SAHARA GRILL T2 PTY L Mascot NS AUS</t>
  </si>
  <si>
    <t>SAHARA GRILL T2 PTY L Mascot</t>
  </si>
  <si>
    <t>08 Jul 2026 SAHARA GRILL T2 PTY L Mascot NS AUS -$19.81 $15,412.80 | Card xx2810 | Value Date: 06/07/2026</t>
  </si>
  <si>
    <t>Card xx0018 | Value Date: 06/07/2026</t>
  </si>
  <si>
    <t>08 Jul 2026 TRANSPORTFORNSW TAP SYDNEY AUS -$7.17 $15,405.63 | Card xx0018 | Value Date: 06/07/2026</t>
  </si>
  <si>
    <t>08 Jul 2026 VIET VIBE BROOKVALE AUS -$6.60 $15,399.03 | Card xx0018 | Value Date: 05/07/2026</t>
  </si>
  <si>
    <t>08 Jul 2026 UBER *TRIP HELP.UBER.C Sydney AU AUS -$5.00 $15,394.03 | Card xx0018 | Value Date: 06/07/2026</t>
  </si>
  <si>
    <t>08 Jul 2026 UBER *TRIP HELP.UBER.C Sydney AU AUS -$106.56 $15,287.47 | Card xx0018 | Value Date: 06/07/2026</t>
  </si>
  <si>
    <t>08 Jul 2026 BP LAUDERDALE 7051 LAUDERDALE AU -$31.60 $15,255.87</t>
  </si>
  <si>
    <t>SQ *BRUNY ISLAND GATEW Kettering AU</t>
  </si>
  <si>
    <t>BRUNY ISLAND GATEW Kettering</t>
  </si>
  <si>
    <t>08 Jul 2026 SQ *BRUNY ISLAND GATEW Kettering AU -$24.89 $15,230.98</t>
  </si>
  <si>
    <t>SQ *BRUNY ISLAND HONEY Great Bay AU</t>
  </si>
  <si>
    <t>BRUNY ISLAND HONEY Great Bay</t>
  </si>
  <si>
    <t>08 Jul 2026 SQ *BRUNY ISLAND HONEY Great Bay AU -$43.50 $15,187.48</t>
  </si>
  <si>
    <t>Direct Debit 507156 MBAUDPayments AMBITIONS_UqJPnqeq</t>
  </si>
  <si>
    <t>08 Jul 2026 Direct Debit 507156 MBAUDPayments -$68.00 $15,119.48 | AMBITIONS_UqJPnqeq</t>
  </si>
  <si>
    <t>SEALINK TASMANIA PTY L ADELAIDE AUS</t>
  </si>
  <si>
    <t>Card xx2810 | Value Date: 08/07/2026</t>
  </si>
  <si>
    <t>SeaLink Tasmania</t>
  </si>
  <si>
    <t>contains:SEALINK TASMANIA</t>
  </si>
  <si>
    <t>09 Jul 2026 SEALINK TASMANIA PTY L ADELAIDE AUS -$62.60 $15,056.88 | Card xx2810 | Value Date: 08/07/2026</t>
  </si>
  <si>
    <t>Card xx0018 | Value Date: 07/07/2026</t>
  </si>
  <si>
    <t>09 Jul 2026 TRANSPORTFORNSW TAP SYDNEY AUS -$3.30 $15,053.58 | Card xx0018 | Value Date: 07/07/2026</t>
  </si>
  <si>
    <t>LS Stars in Hand Queens Domain AU AUS</t>
  </si>
  <si>
    <t>Stars in Hand Queens Domain</t>
  </si>
  <si>
    <t>09 Jul 2026 LS Stars in Hand Queens Domain AU AUS -$5.00 $15,048.58 | Card xx0018 | Value Date: 07/07/2026</t>
  </si>
  <si>
    <t>HOBART CITY COUNCIL HOBART AU AUS</t>
  </si>
  <si>
    <t>HOBART CITY COUNCIL HOBART</t>
  </si>
  <si>
    <t>09 Jul 2026 HOBART CITY COUNCIL HOBART AU AUS -$1.45 $15,047.13 | Card xx0018 | Value Date: 07/07/2026</t>
  </si>
  <si>
    <t>09 Jul 2026 HOBART CITY COUNCIL HOBART AU AUS -$4.35 $15,042.78 | Card xx0018 | Value Date: 07/07/2026</t>
  </si>
  <si>
    <t>09 Jul 2026 BP LAUDERDALE 7051 LAUDERDALE AU -$76.63 $14,966.15</t>
  </si>
  <si>
    <t>ZLR*The Richmond Chocol Richmond AU</t>
  </si>
  <si>
    <t>The Richmond Chocol Richmond</t>
  </si>
  <si>
    <t>09 Jul 2026 ZLR*The Richmond Chocol Richmond AU -$41.08 $14,925.07</t>
  </si>
  <si>
    <t>SQ *THE LIFEBUOY CAFE St Helens AU</t>
  </si>
  <si>
    <t>THE LIFEBUOY CAFE St Helens</t>
  </si>
  <si>
    <t>09 Jul 2026 SQ *THE LIFEBUOY CAFE St Helens AU -$5.50 $14,919.57</t>
  </si>
  <si>
    <t>REF K036403265045 | USD 330 Rate_0.675 | Value Date_09/07/2026</t>
  </si>
  <si>
    <t>09 Jul 2026 IMT 1200002130485 Emily Paula Klobuchar -$488.89 $14,430.68 | REF K036403265045 | USD 330 Rate_0.675 | Value Date_09/07/2026</t>
  </si>
  <si>
    <t>EZYPAYID_102282613</t>
  </si>
  <si>
    <t>09 Jul 2026 Direct Debit 518073 Crunch Fitness - -$30.90 $14,399.78 | EZYPAYID_102282613</t>
  </si>
  <si>
    <t>EZYPAYID_102281705</t>
  </si>
  <si>
    <t>09 Jul 2026 Direct Debit 518073 Crunch Fitness - -$67.80 $14,331.98 | EZYPAYID_102281705</t>
  </si>
  <si>
    <t>Card xx0018 | Value Date: 08/07/2026</t>
  </si>
  <si>
    <t>10 Jul 2026 DODO SERVICES PTY LTD MELBOURNE VI AUS -$73.99 $14,257.99 | Card xx0018 | Value Date: 08/07/2026</t>
  </si>
  <si>
    <t>SQ *BEAR WITH ME South Hobart AU</t>
  </si>
  <si>
    <t>BEAR WITH ME South Hobart</t>
  </si>
  <si>
    <t>10 Jul 2026 SQ *BEAR WITH ME South Hobart AU -$27.56 $14,230.43</t>
  </si>
  <si>
    <t>BREAK O DAY COUNCIL ST HELENS AUS</t>
  </si>
  <si>
    <t>Card xx0018 | Value Date: 09/07/2026</t>
  </si>
  <si>
    <t>BREAK O DAY COUNCIL ST HELENS</t>
  </si>
  <si>
    <t>11 Jul 2026 BREAK O DAY COUNCIL ST HELENS AUS -$7.00 $14,223.43 | Card xx0018 | Value Date: 09/07/2026</t>
  </si>
  <si>
    <t>LS *SlicePizzaRokeby MountWaverley AUS</t>
  </si>
  <si>
    <t>SlicePizzaRokeby MountWaverley</t>
  </si>
  <si>
    <t>fallback:pizza</t>
  </si>
  <si>
    <t>11 Jul 2026 LS *SlicePizzaRokeby MountWaverley AUS -$32.95 $14,190.48 | Card xx0018 | Value Date: 08/07/2026</t>
  </si>
  <si>
    <t>SMP*Think Again Laser89 Dee Why02 AU</t>
  </si>
  <si>
    <t>Think Again Laser</t>
  </si>
  <si>
    <t>contains:THINK AGAIN LASER</t>
  </si>
  <si>
    <t>11 Jul 2026 SMP*Think Again Laser89 Dee Why02 AU -$507.98 $13,682.50</t>
  </si>
  <si>
    <t>11 Jul 2026 COLES 0784 DEE WHY AU -$7.00 $13,675.50</t>
  </si>
  <si>
    <t>12 Jul 2026 SQ *SACREBLEU ! CANELE dee why AU -$17.25 $13,658.25</t>
  </si>
  <si>
    <t>SQ *SILO ESPRESSO Manly AU</t>
  </si>
  <si>
    <t>SILO ESPRESSO Manly</t>
  </si>
  <si>
    <t>12 Jul 2026 SQ *SILO ESPRESSO Manly AU -$10.80 $13,647.45</t>
  </si>
  <si>
    <t>SQ *D M ENTERTAINMENT Manly AU</t>
  </si>
  <si>
    <t>D M ENTERTAINMENT Manly</t>
  </si>
  <si>
    <t>12 Jul 2026 SQ *D M ENTERTAINMENT Manly AU -$36.49 $13,610.96</t>
  </si>
  <si>
    <t>BAC CATERING PTY LTD SYDNEY NSWAU</t>
  </si>
  <si>
    <t>12 Jul 2026 BAC CATERING PTY LTD SYDNEY NSWAU -$5.57 $13,605.39</t>
  </si>
  <si>
    <t>12 Jul 2026 MUJI RETAIL (AUSTRAL SYDNEY AU -$12.90 $13,592.49</t>
  </si>
  <si>
    <t>ZLR*SYD T1LS Tilmont Mascot AU</t>
  </si>
  <si>
    <t>SYD T1LS Tilmont Mascot</t>
  </si>
  <si>
    <t>13 Jul 2026 ZLR*SYD T1LS Tilmont Mascot AU -$7.14 $13,585.35</t>
  </si>
  <si>
    <t>SQ *BENZIN CITY GARAGE Sydney AU</t>
  </si>
  <si>
    <t>BENZIN CITY GARAGE Sydney</t>
  </si>
  <si>
    <t>13 Jul 2026 SQ *BENZIN CITY GARAGE Sydney AU -$24.00 $13,561.35</t>
  </si>
  <si>
    <t>Fast Transfer From BULAT FAEZOV /RFB/VMUZCLMT6//POP Family support</t>
  </si>
  <si>
    <t>Value Date: 14/07/2026</t>
  </si>
  <si>
    <t>13 Jul 2026 Fast Transfer From BULAT FAEZOV $20,001.40 $33,562.75 | /RFB/VMUZCLMT6//POP Family support | Value Date: 14/07/2026</t>
  </si>
  <si>
    <t>Card xx2810 | Value Date: 13/07/2026</t>
  </si>
  <si>
    <t>14 Jul 2026 TRANSPORTFORNSW TAP SYDNEY AUS -$9.65 $33,553.10 | Card xx2810 | Value Date: 13/07/2026</t>
  </si>
  <si>
    <t>Card xx2810 | Value Date: 12/07/2026</t>
  </si>
  <si>
    <t>14 Jul 2026 TRANSPORTFORNSW TAP SYDNEY AUS -$2.31 $33,550.79 | Card xx2810 | Value Date: 12/07/2026</t>
  </si>
  <si>
    <t>THE REJECT SHOP A117 DEE WHY NS AUS</t>
  </si>
  <si>
    <t>Card xx0018 | Value Date: 11/07/2026</t>
  </si>
  <si>
    <t>THE REJECT SHOP A117 DEE WHY</t>
  </si>
  <si>
    <t>14 Jul 2026 THE REJECT SHOP A117 DEE WHY NS AUS -$12.50 $33,538.29 | Card xx0018 | Value Date: 11/07/2026</t>
  </si>
  <si>
    <t>BAR LUCA SYDNEY NS AUS</t>
  </si>
  <si>
    <t>Card xx0018 | Value Date: 12/07/2026</t>
  </si>
  <si>
    <t>BAR LUCA SYDNEY</t>
  </si>
  <si>
    <t>fallback:bar luca</t>
  </si>
  <si>
    <t>14 Jul 2026 BAR LUCA SYDNEY NS AUS -$144.87 $33,393.42 | Card xx0018 | Value Date: 12/07/2026</t>
  </si>
  <si>
    <t>Senn Sushi SYDNEY AUS</t>
  </si>
  <si>
    <t>Senn Sushi SYDNEY</t>
  </si>
  <si>
    <t>14 Jul 2026 Senn Sushi SYDNEY AUS -$7.33 $33,386.09 | Card xx0018 | Value Date: 12/07/2026</t>
  </si>
  <si>
    <t>14 Jul 2026 Guzman Y Gomez Franch Surry Hills NS AUS -$64.50 $33,321.59 | Card xx0018 | Value Date: 11/07/2026</t>
  </si>
  <si>
    <t>Irish Murphy's Hobart Hobart TA AUS</t>
  </si>
  <si>
    <t>Card xx0018 | Value Date: 10/07/2026</t>
  </si>
  <si>
    <t>Irish Murphy's Hobart Hobart</t>
  </si>
  <si>
    <t>14 Jul 2026 Irish Murphy's Hobart Hobart TA AUS -$31.97 $33,289.62 | Card xx0018 | Value Date: 10/07/2026</t>
  </si>
  <si>
    <t>14 Jul 2026 HOBART CITY COUNCIL HOBART AU AUS -$11.60 $33,278.02 | Card xx0018 | Value Date: 10/07/2026</t>
  </si>
  <si>
    <t>IRISH MURPHYS - HOBART BATTERY POINT TA AUS</t>
  </si>
  <si>
    <t>IRISH MURPHYS - HOBART BATTERY POINT</t>
  </si>
  <si>
    <t>14 Jul 2026 IRISH MURPHYS - HOBART BATTERY POINT TA AUS -$91.36 $33,186.66 | Card xx0018 | Value Date: 10/07/2026</t>
  </si>
  <si>
    <t>SQ *COAL RIVER FARM*MO Seven Mile Be TA AUS</t>
  </si>
  <si>
    <t>COAL RIVER FARM*MO Seven Mile Be</t>
  </si>
  <si>
    <t>14 Jul 2026 SQ *COAL RIVER FARM*MO Seven Mile Be TA AUS -$30.53 $33,156.13 | Card xx0018 | Value Date: 10/07/2026</t>
  </si>
  <si>
    <t>LS *PizzarazziSorell MountWaverley AUS</t>
  </si>
  <si>
    <t>PizzarazziSorell MountWaverley</t>
  </si>
  <si>
    <t>14 Jul 2026 LS *PizzarazziSorell MountWaverley AUS -$31.00 $33,125.13 | Card xx0018 | Value Date: 09/07/2026</t>
  </si>
  <si>
    <t>14 Jul 2026 SQ *KAHII Sydney AU -$7.10 $33,118.03</t>
  </si>
  <si>
    <t>WORLDWIDE INTERPRETERS</t>
  </si>
  <si>
    <t>Worldwide Interpreters</t>
  </si>
  <si>
    <t>contains:WORLDWIDE INTERPRETERS</t>
  </si>
  <si>
    <t>14 Jul 2026 WORLDWIDE INTERPRETERS -$391.93 $32,726.10</t>
  </si>
  <si>
    <t>Card xx2810 | Value Date: 14/07/2026</t>
  </si>
  <si>
    <t>15 Jul 2026 TRANSPORTFORNSW TAP SYDNEY AUS -$5.77 $32,720.33 | Card xx2810 | Value Date: 14/07/2026</t>
  </si>
  <si>
    <t>Return AMAZON AU MARKETPLACE SYDNEY AUS</t>
  </si>
  <si>
    <t>Card xx6220 | Value Date: 13/07/2026</t>
  </si>
  <si>
    <t>Return AMAZON MARKETPLACE SYDNEY</t>
  </si>
  <si>
    <t>15 Jul 2026 Return AMAZON AU MARKETPLACE SYDNEY AUS $146.93 $32,867.26 | Card xx6220 | Value Date: 13/07/2026</t>
  </si>
  <si>
    <t>15 Jul 2026 Return AMAZON AU MARKETPLACE SYDNEY AUS $61.69 $32,928.95 | Card xx6220 | Value Date: 13/07/2026</t>
  </si>
  <si>
    <t>Card xx0018 | Value Date: 14/07/2026</t>
  </si>
  <si>
    <t>15 Jul 2026 TRANSPORTFORNSW TAP SYDNEY AUS -$23.99 $32,904.96 | Card xx0018 | Value Date: 14/07/2026</t>
  </si>
  <si>
    <t>Card xx0018 | Value Date: 13/07/2026</t>
  </si>
  <si>
    <t>15 Jul 2026 TRANSPORTFORNSW TAP SYDNEY AUS -$4.03 $32,900.93 | Card xx0018 | Value Date: 13/07/2026</t>
  </si>
  <si>
    <t>15 Jul 2026 MAO SHENG ASIAN SUPE DEE WHY AUS -$5.66 $32,895.27 | Card xx0018 | Value Date: 11/07/2026</t>
  </si>
  <si>
    <t>15 Jul 2026 UBER *TRIP HELP.UBER.C Sydney AU AUS -$148.97 $32,746.30 | Card xx0018 | Value Date: 13/07/2026</t>
  </si>
  <si>
    <t>15 Jul 2026 UBER *TRIP HELP.UBER.C Sydney AU AUS -$10.00 $32,736.30 | Card xx0018 | Value Date: 13/07/2026</t>
  </si>
  <si>
    <t>15 Jul 2026 COLES 0784 DEE WHY NS AUS -$83.06 $32,653.24 | Card xx0018 | Value Date: 13/07/2026</t>
  </si>
  <si>
    <t>ZLR*Cozy &amp; Brew Co. Sydney AU</t>
  </si>
  <si>
    <t>Cozy &amp; Brew</t>
  </si>
  <si>
    <t>contains:COZY &amp; BREW</t>
  </si>
  <si>
    <t>15 Jul 2026 ZLR*Cozy &amp; Brew Co. Sydney AU -$7.61 $32,645.63</t>
  </si>
  <si>
    <t>AMBITIONS_Usvws61C</t>
  </si>
  <si>
    <t>15 Jul 2026 Direct Debit 507156 MBAUDPayments -$68.00 $32,577.63 | AMBITIONS_Usvws61C</t>
  </si>
  <si>
    <t>ndnkbzq1</t>
  </si>
  <si>
    <t>15 Jul 2026 Direct Debit 545383 Telstra Services -$138.00 $32,439.63 | ndnkbzq1</t>
  </si>
  <si>
    <t>Return THREDUP 6175759676 CA USA</t>
  </si>
  <si>
    <t>Card xx0018 USD 56.93 | Value Date: 14/07/2026</t>
  </si>
  <si>
    <t>Return THREDUP CA</t>
  </si>
  <si>
    <t>16 Jul 2026 Return THREDUP 6175759676 CA USA $82.39 $32,522.02 | Card xx0018 USD 56.93 | Value Date: 14/07/2026</t>
  </si>
  <si>
    <t>16 Jul 2026 TRANSPORTFORNSW TAP SYDNEY AUS -$5.77 $32,516.25 | Card xx0018 | Value Date: 14/07/2026</t>
  </si>
  <si>
    <t>16 Jul 2026 FLYING HAT SYDNEY AUS -$6.07 $32,510.18 | Card xx0018 | Value Date: 14/07/2026</t>
  </si>
  <si>
    <t>16 Jul 2026 Guzman Y Gomez Franch Surry Hills NS AUS -$24.10 $32,486.08 | Card xx0018 | Value Date: 14/07/2026</t>
  </si>
  <si>
    <t>16 Jul 2026 DEFT REAL ESTATE NetBank BPAY 4481 -$1,720.00 $30,766.08 | 0053436473 Rent may 9 to 23</t>
  </si>
  <si>
    <t>16 Jul 2026 SQ *KAHII Sydney AU -$7.10 $30,758.98</t>
  </si>
  <si>
    <t>OZBARCODES.COM.AU</t>
  </si>
  <si>
    <t>OzBarcodes</t>
  </si>
  <si>
    <t>contains:OZBARCODES</t>
  </si>
  <si>
    <t>16 Jul 2026 OZBARCODES.COM.AU -$32.95 $30,726.03</t>
  </si>
  <si>
    <t>Card xx2810 | Value Date: 15/07/2026</t>
  </si>
  <si>
    <t>17 Jul 2026 BITE* BBDEE WHY SANCROX NS AUS -$26.76 $30,699.27 | Card xx2810 | Value Date: 15/07/2026</t>
  </si>
  <si>
    <t>TFNSW OPAL FARE SYDNEY AUS</t>
  </si>
  <si>
    <t>Card xx0018 | Value Date: 15/07/2026</t>
  </si>
  <si>
    <t>contains:TFNSW OPAL</t>
  </si>
  <si>
    <t>17 Jul 2026 TFNSW OPAL FARE SYDNEY AUS -$9.80 $30,689.47 | Card xx0018 | Value Date: 15/07/2026</t>
  </si>
  <si>
    <t>17 Jul 2026 SQ *ALL PURPOSE BAKERY Sydney AU -$9.09 $30,680.38</t>
  </si>
  <si>
    <t>17 Jul 2026 SQ *KAHII Sydney AU -$7.10 $30,673.28</t>
  </si>
  <si>
    <t>17 Jul 2026 SQ *SACREBLEU ! CANELE dee why AU -$14.20 $30,659.08</t>
  </si>
  <si>
    <t>17 Jul 2026 COLES 0784 DEE WHY AU -$13.82 $30,645.26</t>
  </si>
  <si>
    <t>SQ *NICHI GETSU DO Sydney AU</t>
  </si>
  <si>
    <t>NICHI GETSU DO Sydney</t>
  </si>
  <si>
    <t>17 Jul 2026 SQ *NICHI GETSU DO Sydney AU -$26.00 $30,619.26</t>
  </si>
  <si>
    <t>FIFTYLAN AUSTRALIA Sydney AU</t>
  </si>
  <si>
    <t>FIFTYLAN Sydney</t>
  </si>
  <si>
    <t>17 Jul 2026 FIFTYLAN AUSTRALIA Sydney AU -$6.97 $30,612.29</t>
  </si>
  <si>
    <t>GUZMAN Y GOMEZ SURRY HILLS NS AUS</t>
  </si>
  <si>
    <t>Card xx2810 | Value Date: 16/07/2026</t>
  </si>
  <si>
    <t>GUZMAN Y GOMEZ SURRY HILLS</t>
  </si>
  <si>
    <t>18 Jul 2026 GUZMAN Y GOMEZ SURRY HILLS NS AUS -$28.60 $30,583.69 | Card xx2810 | Value Date: 16/07/2026</t>
  </si>
  <si>
    <t>Card xx0018 | Value Date: 16/07/2026</t>
  </si>
  <si>
    <t>18 Jul 2026 TFNSW OPAL FARE SYDNEY AUS -$5.77 $30,577.92 | Card xx0018 | Value Date: 16/07/2026</t>
  </si>
  <si>
    <t>18 Jul 2026 FLYING HAT SYDNEY AUS -$6.07 $30,571.85 | Card xx0018 | Value Date: 16/07/2026</t>
  </si>
  <si>
    <t>18 Jul 2026 HUNGRYPANDA AU PRAHRAN VI AUS -$16.39 $30,555.46 | Card xx0018 | Value Date: 16/07/2026</t>
  </si>
  <si>
    <t>18 Jul 2026 SQ *SACREBLEU ! CANELE dee why AU -$10.15 $30,545.31</t>
  </si>
  <si>
    <t>18 Jul 2026 M &amp; J TRADING UP PTY DEE WHY NSWAU -$2.20 $30,543.11</t>
  </si>
  <si>
    <t>18 Jul 2026 SQ *WINGMILL Dee Why AU -$45.00 $30,498.11</t>
  </si>
  <si>
    <t>20 Jul 2026 SQ *KAHII Sydney AU -$7.10 $30,491.01</t>
  </si>
  <si>
    <t>ZLR*Cupcakes on Pitt Sydney AU</t>
  </si>
  <si>
    <t>Cupcakes on Pitt Sydney</t>
  </si>
  <si>
    <t>20 Jul 2026 ZLR*Cupcakes on Pitt Sydney AU -$16.23 $30,474.78</t>
  </si>
  <si>
    <t>Transfer To john younin CommBank App Car</t>
  </si>
  <si>
    <t>20 Jul 2026 Transfer To john younin -$5,500.00 $24,974.78 | CommBank App Car</t>
  </si>
  <si>
    <t>20 Jul 2026 SMP*Hero Sushi Dee Why Dee Why02 AU -$5.05 $24,969.73</t>
  </si>
  <si>
    <t>Card xx6220 | Value Date: 16/07/2026</t>
  </si>
  <si>
    <t>21 Jul 2026 TRANSPORTFORNSW OPAL CHIPPENDALE AUS -$60.00 $24,909.73 | Card xx6220 | Value Date: 16/07/2026</t>
  </si>
  <si>
    <t>21 Jul 2026 AMAZON AU MARKETPLACE SYDNEY AUS -$43.14 $24,866.59 | Card xx6220 | Value Date: 16/07/2026</t>
  </si>
  <si>
    <t>Card xx2810 | Value Date: 20/07/2026</t>
  </si>
  <si>
    <t>21 Jul 2026 TFNSW OPAL FARE SYDNEY AUS -$4.03 $24,862.56 | Card xx2810 | Value Date: 20/07/2026</t>
  </si>
  <si>
    <t>Card xx2810 | Value Date: 17/07/2026</t>
  </si>
  <si>
    <t>21 Jul 2026 DEE WHY LIBRARY DEE WHY AUS -$1.20 $24,861.36 | Card xx2810 | Value Date: 17/07/2026</t>
  </si>
  <si>
    <t>Card xx2810 | Value Date: 19/07/2026</t>
  </si>
  <si>
    <t>21 Jul 2026 COLES 0784 DEE WHY NS AUS -$59.67 $24,801.69 | Card xx2810 | Value Date: 19/07/2026</t>
  </si>
  <si>
    <t>LSP*Upper Crust Pies Collaroy AU AUS</t>
  </si>
  <si>
    <t>Upper Crust Pies Collaroy</t>
  </si>
  <si>
    <t>fallback:upper crust</t>
  </si>
  <si>
    <t>21 Jul 2026 LSP*Upper Crust Pies Collaroy AU AUS -$12.78 $24,788.91 | Card xx2810 | Value Date: 19/07/2026</t>
  </si>
  <si>
    <t>21 Jul 2026 COLES 0784 DEE WHY NS AUS -$26.79 $24,762.12 | Card xx2810 | Value Date: 17/07/2026</t>
  </si>
  <si>
    <t>Card xx0018 | Value Date: 19/07/2026</t>
  </si>
  <si>
    <t>21 Jul 2026 Cafe Plenty Dee Why NS AUS -$4.87 $24,757.25 | Card xx0018 | Value Date: 19/07/2026</t>
  </si>
  <si>
    <t>Card xx0018 | Value Date: 18/07/2026</t>
  </si>
  <si>
    <t>21 Jul 2026 LA DISPENSA DEE WHY AUS -$3.90 $24,753.35 | Card xx0018 | Value Date: 18/07/2026</t>
  </si>
  <si>
    <t>Card xx0018 | Value Date: 17/07/2026</t>
  </si>
  <si>
    <t>21 Jul 2026 TFNSW OPAL FARE SYDNEY AUS -$11.54 $24,741.81 | Card xx0018 | Value Date: 17/07/2026</t>
  </si>
  <si>
    <t>21 Jul 2026 EJ FAMILY TRUST SYDNEY NS AUS -$12.13 $24,729.68 | Card xx0018 | Value Date: 17/07/2026</t>
  </si>
  <si>
    <t>Netflix.com Melbourne VI AUS</t>
  </si>
  <si>
    <t>Netflix.com Melbourne</t>
  </si>
  <si>
    <t>21 Jul 2026 Netflix.com Melbourne VI AUS -$9.99 $24,719.69 | Card xx0018 | Value Date: 18/07/2026</t>
  </si>
  <si>
    <t>21 Jul 2026 COLES 0784 DEE WHY NS AUS -$28.90 $24,690.79 | Card xx0018 | Value Date: 17/07/2026</t>
  </si>
  <si>
    <t>21 Jul 2026 SQ *SALUMERIE - SYDNEY Sydney AU -$4.57 $24,686.22</t>
  </si>
  <si>
    <t>21 Jul 2026 SQ *BUREAU CAFE Sydney AU -$5.00 $24,681.22</t>
  </si>
  <si>
    <t>FARSHAD &amp; REZA PL DEE WHY NSWAU</t>
  </si>
  <si>
    <t>21 Jul 2026 FARSHAD &amp; REZA PL DEE WHY NSWAU -$45.00 $24,636.22</t>
  </si>
  <si>
    <t>21 Jul 2026 COLES 0784 DEE WHY AU -$13.60 $24,622.62</t>
  </si>
  <si>
    <t>21 Jul 2026 SMP*Hero Sushi Dee Why Dee Why02 AU -$10.10 $24,612.52</t>
  </si>
  <si>
    <t>Card xx6220 | Value Date: 19/07/2026</t>
  </si>
  <si>
    <t>22 Jul 2026 On Sportswear Melbourne AU AUS -$150.00 $24,462.52 | Card xx6220 | Value Date: 19/07/2026</t>
  </si>
  <si>
    <t>22 Jul 2026 SQ *SACREBLEU ! CANELE dee why AU -$19.30 $24,443.22</t>
  </si>
  <si>
    <t>22 Jul 2026 ZLR*Cupcakes on Pitt Sydney AU -$17.24 $24,425.98</t>
  </si>
  <si>
    <t>SQ *THE BEST CHOCOLATE Brookvale AU</t>
  </si>
  <si>
    <t>THE BEST CHOCOLATE Brookvale</t>
  </si>
  <si>
    <t>22 Jul 2026 SQ *THE BEST CHOCOLATE Brookvale AU -$4.98 $24,421.00</t>
  </si>
  <si>
    <t>SP MILLIGRAM Melbourne AU</t>
  </si>
  <si>
    <t>Milligram</t>
  </si>
  <si>
    <t>contains:MILLIGRAM</t>
  </si>
  <si>
    <t>22 Jul 2026 SP MILLIGRAM Melbourne AU -$20.98 $24,400.02</t>
  </si>
  <si>
    <t>Razz Room Sydney AU</t>
  </si>
  <si>
    <t>Razz Room Sydney</t>
  </si>
  <si>
    <t>22 Jul 2026 Razz Room Sydney AU -$22.16 $24,377.86</t>
  </si>
  <si>
    <t>AMBITIONS_UvYWTo8A</t>
  </si>
  <si>
    <t>22 Jul 2026 Direct Debit 507156 MBAUDPayments -$68.00 $24,309.86 | AMBITIONS_UvYWTo8A</t>
  </si>
  <si>
    <t>Card xx2810 | Value Date: 21/07/2026</t>
  </si>
  <si>
    <t>23 Jul 2026 BITE* BBDEE WHY SANCROX NS AUS -$28.80 $24,281.06 | Card xx2810 | Value Date: 21/07/2026</t>
  </si>
  <si>
    <t>Card xx6220 | Value Date: 21/07/2026</t>
  </si>
  <si>
    <t>23 Jul 2026 NEXGEN PHARMA CASTLE HILL NS AUS -$160.00 $24,121.06 | Card xx6220 | Value Date: 21/07/2026</t>
  </si>
  <si>
    <t>Card xx0018 | Value Date: 21/07/2026</t>
  </si>
  <si>
    <t>23 Jul 2026 TFNSW OPAL FARE SYDNEY AUS -$5.77 $24,115.29 | Card xx0018 | Value Date: 21/07/2026</t>
  </si>
  <si>
    <t>Kmart Photo Centre kmhelp.com.au VI AUS</t>
  </si>
  <si>
    <t>Kmart Photo Centre kmhelp.com</t>
  </si>
  <si>
    <t>23 Jul 2026 Kmart Photo Centre kmhelp.com.au VI AUS -$12.00 $24,103.29 | Card xx0018 | Value Date: 21/07/2026</t>
  </si>
  <si>
    <t>23 Jul 2026 Kmart Photo Centre kmhelp.com.au VI AUS -$6.00 $24,097.29 | Card xx0018 | Value Date: 21/07/2026</t>
  </si>
  <si>
    <t>CENTRAL PLAZA B0418 EASTGARDENS NS AUS</t>
  </si>
  <si>
    <t>CENTRAL PLAZA B0418 EASTGARDENS</t>
  </si>
  <si>
    <t>23 Jul 2026 CENTRAL PLAZA B0418 EASTGARDENS NS AUS -$15.50 $24,081.79 | Card xx0018 | Value Date: 21/07/2026</t>
  </si>
  <si>
    <t>SQ *MADE IN DY Dee Why AU</t>
  </si>
  <si>
    <t>MADE IN DY Dee Why</t>
  </si>
  <si>
    <t>23 Jul 2026 SQ *MADE IN DY Dee Why AU -$11.51 $24,070.28</t>
  </si>
  <si>
    <t>23 Jul 2026 SMP*Hero Sushi Dee Why Dee Why02 AU -$9.90 $24,060.38</t>
  </si>
  <si>
    <t>EZYPAYID_103390835</t>
  </si>
  <si>
    <t>23 Jul 2026 Direct Debit 518073 Crunch Fitness - -$22.90 $24,037.48 | EZYPAYID_103390835</t>
  </si>
  <si>
    <t>EZYPAYID_103392459</t>
  </si>
  <si>
    <t>23 Jul 2026 Direct Debit 518073 Crunch Fitness - -$30.90 $24,006.58 | EZYPAYID_103392459</t>
  </si>
  <si>
    <t>Card xx2810 | Value Date: 23/07/2026</t>
  </si>
  <si>
    <t>24 Jul 2026 TFNSW OPAL FARE SYDNEY AUS -$9.07 $23,997.51 | Card xx2810 | Value Date: 23/07/2026</t>
  </si>
  <si>
    <t>Girdlers Dee Why Dee Why NS AUS</t>
  </si>
  <si>
    <t>Card xx2810 | Value Date: 22/07/2026</t>
  </si>
  <si>
    <t>Girdlers</t>
  </si>
  <si>
    <t>contains:GIRDLERS</t>
  </si>
  <si>
    <t>24 Jul 2026 Girdlers Dee Why Dee Why NS AUS -$5.86 $23,991.65 | Card xx2810 | Value Date: 22/07/2026</t>
  </si>
  <si>
    <t>TESSUTO Sydney NS AUS</t>
  </si>
  <si>
    <t>Card xx0018 | Value Date: 22/07/2026</t>
  </si>
  <si>
    <t>TESSUTO Sydney</t>
  </si>
  <si>
    <t>24 Jul 2026 TESSUTO Sydney NS AUS -$18.30 $23,973.35 | Card xx0018 | Value Date: 22/07/2026</t>
  </si>
  <si>
    <t>ODDCULTURE.GROUP ENMORE NS AUS</t>
  </si>
  <si>
    <t>ODDCULTURE.GROUP ENMORE</t>
  </si>
  <si>
    <t>24 Jul 2026 ODDCULTURE.GROUP ENMORE NS AUS -$26.60 $23,946.75 | Card xx0018 | Value Date: 22/07/2026</t>
  </si>
  <si>
    <t>24 Jul 2026 ODDCULTURE.GROUP ENMORE NS AUS -$39.85 $23,906.90 | Card xx0018 | Value Date: 22/07/2026</t>
  </si>
  <si>
    <t>24 Jul 2026 SQ *BUREAU CAFE Sydney AU -$5.00 $23,901.90</t>
  </si>
  <si>
    <t>24 Jul 2026 SQ *SACREBLEU ! CANELE dee why AU -$19.30 $23,882.60</t>
  </si>
  <si>
    <t>24 Jul 2026 SQ *SALUMERIE - SYDNEY Sydney AU -$23.90 $23,858.70</t>
  </si>
  <si>
    <t>TEMU.COM</t>
  </si>
  <si>
    <t>Temu</t>
  </si>
  <si>
    <t>contains:TEMU</t>
  </si>
  <si>
    <t>24 Jul 2026 TEMU.COM -$3.98 $23,854.72</t>
  </si>
  <si>
    <t>SQ *CAFFE BRIOSO UNSW SYDNEY AU</t>
  </si>
  <si>
    <t>CAFFE BRIOSO UNSW SYDNEY</t>
  </si>
  <si>
    <t>24 Jul 2026 SQ *CAFFE BRIOSO UNSW SYDNEY AU -$4.20 $23,850.52</t>
  </si>
  <si>
    <t>SQ *KYIV SOCIAL PTY LT Chippendale AU</t>
  </si>
  <si>
    <t>KYIV SOCIAL PTY LT Chippendale</t>
  </si>
  <si>
    <t>fallback:kyiv social</t>
  </si>
  <si>
    <t>24 Jul 2026 SQ *KYIV SOCIAL PTY LT Chippendale AU -$129.84 $23,720.68</t>
  </si>
  <si>
    <t>SQ *ENTERMISSION SYDNE Sydney AU</t>
  </si>
  <si>
    <t>ENTERMISSION SYDNE Sydney</t>
  </si>
  <si>
    <t>24 Jul 2026 SQ *ENTERMISSION SYDNE Sydney AU -$30.33 $23,690.35</t>
  </si>
  <si>
    <t>24 Jul 2026 SQ *ENTERMISSION SYDNE Sydney AU -$30.33 $23,660.02</t>
  </si>
  <si>
    <t>24 Jul 2026 SQ *ENTERMISSION SYDNE Sydney AU -$10.11 $23,649.91</t>
  </si>
  <si>
    <t>Card xx2810 | Value Date: 24/07/2026</t>
  </si>
  <si>
    <t>25 Jul 2026 TRANSPORTFORNSW OPAL CHIPPENDALE AUS -$60.00 $23,589.91 | Card xx2810 | Value Date: 24/07/2026</t>
  </si>
  <si>
    <t>25 Jul 2026 SEA VIEW CAFE &amp; RESTA Dee Why NS AUS -$15.72 $23,574.19 | Card xx2810 | Value Date: 23/07/2026</t>
  </si>
  <si>
    <t>25 Jul 2026 COLES 0784 DEE WHY NS AUS -$29.02 $23,545.17 | Card xx2810 | Value Date: 23/07/2026</t>
  </si>
  <si>
    <t>Card xx0018 | Value Date: 23/07/2026</t>
  </si>
  <si>
    <t>25 Jul 2026 TFNSW OPAL FARE SYDNEY AUS -$4.03 $23,541.14 | Card xx0018 | Value Date: 23/07/2026</t>
  </si>
  <si>
    <t>Card xx0018 | Value Date: 24/07/2026</t>
  </si>
  <si>
    <t>25 Jul 2026 TESSUTO Sydney NS AUS -$8.13 $23,533.01 | Card xx0018 | Value Date: 24/07/2026</t>
  </si>
  <si>
    <t>25 Jul 2026 TESSUTO Sydney NS AUS -$11.69 $23,521.32 | Card xx0018 | Value Date: 23/07/2026</t>
  </si>
  <si>
    <t>SQ *PLAY COFFEE - EAST Eastwood AU</t>
  </si>
  <si>
    <t>PLAY COFFEE - EAST Eastwood</t>
  </si>
  <si>
    <t>25 Jul 2026 SQ *PLAY COFFEE - EAST Eastwood AU -$20.20 $23,501.12</t>
  </si>
  <si>
    <t>KATOOMBA KIOSK KATOOMBA AU</t>
  </si>
  <si>
    <t>KATOOMBA KIOSK KATOOMBA</t>
  </si>
  <si>
    <t>25 Jul 2026 KATOOMBA KIOSK KATOOMBA AU -$7.00 $23,494.12</t>
  </si>
  <si>
    <t>25 Jul 2026 COLES 0784 DEE WHY AU -$7.80 $23,486.32</t>
  </si>
  <si>
    <t>Foster &amp; Black Warrin Brookvale AU</t>
  </si>
  <si>
    <t>Foster &amp; Black Warrin Brookvale</t>
  </si>
  <si>
    <t>26 Jul 2026 Foster &amp; Black Warrin Brookvale AU -$6.00 $23,480.32</t>
  </si>
  <si>
    <t>SQ *CUTS AVENUE WARRIN Brookvale AU</t>
  </si>
  <si>
    <t>Cuts Avenue</t>
  </si>
  <si>
    <t>contains:CUTS AVENUE</t>
  </si>
  <si>
    <t>26 Jul 2026 SQ *CUTS AVENUE WARRIN Brookvale AU -$84.33 $23,395.99</t>
  </si>
  <si>
    <t>LS WARRINGAH North Rocks AU</t>
  </si>
  <si>
    <t>WARRINGAH North Rocks</t>
  </si>
  <si>
    <t>26 Jul 2026 LS WARRINGAH North Rocks AU -$29.99 $23,366.00</t>
  </si>
  <si>
    <t>26 Jul 2026 TK MAXX WARRINGAH BROOKVALE NSWAU -$6.98 $23,359.02</t>
  </si>
  <si>
    <t>SQ *KEBABS &amp; CREPES LA Auburn AU</t>
  </si>
  <si>
    <t>KEBABS &amp; CREPES LA Auburn</t>
  </si>
  <si>
    <t>26 Jul 2026 SQ *KEBABS &amp; CREPES LA Auburn AU -$18.78 $23,340.24</t>
  </si>
  <si>
    <t>SERVICE NSW SYDNEY AU</t>
  </si>
  <si>
    <t>SERVICE SYDNEY</t>
  </si>
  <si>
    <t>fallback:service nsw</t>
  </si>
  <si>
    <t>27 Jul 2026 SERVICE NSW SYDNEY AU -$134.00 $23,206.24</t>
  </si>
  <si>
    <t>SMP*Hero Sushi George Sydney02 AU</t>
  </si>
  <si>
    <t>Hero Sushi George Sydney02</t>
  </si>
  <si>
    <t>27 Jul 2026 SMP*Hero Sushi George Sydney02 AU -$7.58 $23,198.66</t>
  </si>
  <si>
    <t>27 Jul 2026 SMP*Hero Sushi Dee Why Dee Why02 AU -$10.10 $23,188.56</t>
  </si>
  <si>
    <t>27 Jul 2026 SMP*Hero Sushi Dee Why Dee Why02 AU -$5.05 $23,183.51</t>
  </si>
  <si>
    <t>KMART 1378 BROOKVALE NS AUS</t>
  </si>
  <si>
    <t>Card xx0018 | Value Date: 26/07/2026</t>
  </si>
  <si>
    <t>28 Jul 2026 KMART 1378 BROOKVALE NS AUS -$44.00 $23,139.51 | Card xx0018 | Value Date: 26/07/2026</t>
  </si>
  <si>
    <t>28 Jul 2026 COLES 0784 DEE WHY NS AUS -$67.39 $23,072.12 | Card xx0018 | Value Date: 26/07/2026</t>
  </si>
  <si>
    <t>Card xx0018 | Value Date: 25/07/2026</t>
  </si>
  <si>
    <t>28 Jul 2026 TFNSW OPAL FARE SYDNEY AUS -$4.03 $23,068.09 | Card xx0018 | Value Date: 25/07/2026</t>
  </si>
  <si>
    <t>COSTCO WHOLESALE PTY LIDCOMBE AUS</t>
  </si>
  <si>
    <t>Costco</t>
  </si>
  <si>
    <t>contains:COSTCO WHOLESALE</t>
  </si>
  <si>
    <t>28 Jul 2026 COSTCO WHOLESALE PTY LIDCOMBE AUS -$10.98 $23,057.11 | Card xx0018 | Value Date: 25/07/2026</t>
  </si>
  <si>
    <t>LS Skyway Restaurant P Katoomba AU AUS</t>
  </si>
  <si>
    <t>Skyway Restaurant P Katoomba</t>
  </si>
  <si>
    <t>fallback:restaurant</t>
  </si>
  <si>
    <t>28 Jul 2026 LS Skyway Restaurant P Katoomba AU AUS -$24.90 $23,032.21 | Card xx0018 | Value Date: 25/07/2026</t>
  </si>
  <si>
    <t>SMP*George Street Hub0 Haymarket NS AUS</t>
  </si>
  <si>
    <t>George Street Hub0 Haymarket</t>
  </si>
  <si>
    <t>28 Jul 2026 SMP*George Street Hub0 Haymarket NS AUS -$3.99 $23,028.22 | Card xx0018 | Value Date: 24/07/2026</t>
  </si>
  <si>
    <t>Mixue George Street Sydney NS AUS</t>
  </si>
  <si>
    <t>Mixue George Street Sydney</t>
  </si>
  <si>
    <t>28 Jul 2026 Mixue George Street Sydney NS AUS -$2.50 $23,025.72 | Card xx0018 | Value Date: 24/07/2026</t>
  </si>
  <si>
    <t>28 Jul 2026 COLES 0784 DEE WHY AU -$23.90 $23,001.82</t>
  </si>
  <si>
    <t>28 Jul 2026 SMP*Hero Sushi Dee Why Dee Why02 AU -$12.83 $22,988.99</t>
  </si>
  <si>
    <t>28 Jul 2026 TIYEB STORE PTY LTD SYDNEY NSWAU -$4.03 $22,984.96</t>
  </si>
  <si>
    <t>Card xx6220 | Value Date: 27/07/2026</t>
  </si>
  <si>
    <t>29 Jul 2026 TRANSPORTFORNSW OPAL CHIPPENDALE AUS -$60.00 $22,924.96 | Card xx6220 | Value Date: 27/07/2026</t>
  </si>
  <si>
    <t>Card xx2810 | Value Date: 27/07/2026</t>
  </si>
  <si>
    <t>29 Jul 2026 BITE* BBDEE WHY SANCROX NS AUS -$28.80 $22,896.16 | Card xx2810 | Value Date: 27/07/2026</t>
  </si>
  <si>
    <t>29 Jul 2026 VIET VIBE BROOKVALE AUS -$6.60 $22,889.56 | Card xx0018 | Value Date: 26/07/2026</t>
  </si>
  <si>
    <t>Card xx0018 | Value Date: 28/07/2026</t>
  </si>
  <si>
    <t>29 Jul 2026 TESSUTO Sydney NS AUS -$8.13 $22,881.43 | Card xx0018 | Value Date: 28/07/2026</t>
  </si>
  <si>
    <t>Card xx0018 USD 11.80 | Value Date: 26/07/2026</t>
  </si>
  <si>
    <t>29 Jul 2026 TELLO MOBILE ATLANTA GA USA -$16.95 $22,864.48 | Card xx0018 USD 11.80 | Value Date: 26/07/2026</t>
  </si>
  <si>
    <t>Value Date: 26/07/2026</t>
  </si>
  <si>
    <t>29 Jul 2026 International Transaction Fee -$0.59 $22,863.89 | Value Date: 26/07/2026</t>
  </si>
  <si>
    <t>Card xx0018 | Value Date: 27/07/2026</t>
  </si>
  <si>
    <t>29 Jul 2026 TESSUTO Sydney NS AUS -$5.08 $22,858.81 | Card xx0018 | Value Date: 27/07/2026</t>
  </si>
  <si>
    <t>Chapayom George Stree Sydney NS AUS</t>
  </si>
  <si>
    <t>Chapayom George Stree Sydney</t>
  </si>
  <si>
    <t>29 Jul 2026 Chapayom George Stree Sydney NS AUS -$6.58 $22,852.23 | Card xx0018 | Value Date: 27/07/2026</t>
  </si>
  <si>
    <t>29 Jul 2026 SQ *KAHII Sydney AU -$7.10 $22,845.13</t>
  </si>
  <si>
    <t>29 Jul 2026 COLES 0784 DEE WHY AU -$21.90 $22,823.23</t>
  </si>
  <si>
    <t>29 Jul 2026 COLES 0784 DEE WHY AU -$13.35 $22,809.88</t>
  </si>
  <si>
    <t>AMBITIONS_UyB63UG1</t>
  </si>
  <si>
    <t>29 Jul 2026 Direct Debit 507156 MBAUDPayments -$68.00 $22,741.88 | AMBITIONS_UyB63UG1</t>
  </si>
  <si>
    <t>Card xx6220 | Value Date: 28/07/2026</t>
  </si>
  <si>
    <t>30 Jul 2026 AMAZON AU MARKETPLACE SYDNEY AUS -$47.27 $22,694.61 | Card xx6220 | Value Date: 28/07/2026</t>
  </si>
  <si>
    <t>Cash Traders Northsid Dee Why NS AUS</t>
  </si>
  <si>
    <t>Card xx2810 | Value Date: 28/07/2026</t>
  </si>
  <si>
    <t>Cash Traders Northsid Dee Why</t>
  </si>
  <si>
    <t>30 Jul 2026 Cash Traders Northsid Dee Why NS AUS -$130.29 $22,564.32 | Card xx2810 | Value Date: 28/07/2026</t>
  </si>
  <si>
    <t>30 Jul 2026 HUNGRYPANDA AU PRAHRAN VI AUS -$15.57 $22,548.75 | Card xx0018 | Value Date: 28/07/2026</t>
  </si>
  <si>
    <t>30 Jul 2026 Guzman Y Gomez Franch Surry Hills NS AUS -$27.10 $22,521.65 | Card xx0018 | Value Date: 28/07/2026</t>
  </si>
  <si>
    <t>30 Jul 2026 DEFT REAL ESTATE NetBank BPAY 4481 -$1,720.00 $20,801.65 | 0053436473 Rent may 9 to 23</t>
  </si>
  <si>
    <t>30 Jul 2026 ZLR*Cozy &amp; Brew Co. Sydney AU -$5.58 $20,796.07</t>
  </si>
  <si>
    <t>PDY004002039692</t>
  </si>
  <si>
    <t>30 Jul 2026 Direct Credit 158824 AMAZON COMML SEV $9,455.02 $30,251.09 | PDY004002039692</t>
  </si>
  <si>
    <t>HEROSUSHI-DEEWHY Dee Why NS AUS</t>
  </si>
  <si>
    <t>Card xx2810 | Value Date: 29/07/2026</t>
  </si>
  <si>
    <t>HEROSUSHI-DEEWHY Dee Why</t>
  </si>
  <si>
    <t>31 Jul 2026 HEROSUSHI-DEEWHY Dee Why NS AUS -$7.50 $30,243.59 | Card xx2810 | Value Date: 29/07/2026</t>
  </si>
  <si>
    <t>31 Jul 2026 AMAZON AU MARKETPLACE SYDNEY AUS -$9.99 $30,233.60 | Card xx6220 | Value Date: 28/07/2026</t>
  </si>
  <si>
    <t>Card xx0018 | Value Date: 29/07/2026</t>
  </si>
  <si>
    <t>31 Jul 2026 TFNSW OPAL FARE SYDNEY AUS -$4.49 $30,229.11 | Card xx0018 | Value Date: 29/07/2026</t>
  </si>
  <si>
    <t>31 Jul 2026 EJ FAMILY TRUST SYDNEY NS AUS -$12.13 $30,216.98 | Card xx0018 | Value Date: 29/07/2026</t>
  </si>
  <si>
    <t>31 Jul 2026 WOOLWORTHS 1472 DEE WHY NS AUS -$12.55 $30,204.43 | Card xx0018 | Value Date: 29/07/2026</t>
  </si>
  <si>
    <t>SINDBAD GROUP PTY LTD SYDNEY AU AUS</t>
  </si>
  <si>
    <t>SINDBAD GROUP PTY LTD SYDNEY</t>
  </si>
  <si>
    <t>31 Jul 2026 SINDBAD GROUP PTY LTD SYDNEY AU AUS -$10.15 $30,194.28 | Card xx0018 | Value Date: 29/07/2026</t>
  </si>
  <si>
    <t>31 Jul 2026 ZLR*Cozy &amp; Brew Co. Sydney AU -$5.58 $30,188.70</t>
  </si>
  <si>
    <t>31 Jul 2026 M &amp; J TRADING UP PTY DEE WHY NSWAU -$2.20 $30,186.50</t>
  </si>
  <si>
    <t>AUSTRALIANSKINCLINICS NORWOOD SA AUS</t>
  </si>
  <si>
    <t>Card xx0018 | Value Date: 30/07/2026</t>
  </si>
  <si>
    <t>Australian Skin Clinics</t>
  </si>
  <si>
    <t>contains:AUSTRALIANSKINCLINICS</t>
  </si>
  <si>
    <t>2026-08</t>
  </si>
  <si>
    <t>01 Aug 2026 AUSTRALIANSKINCLINICS NORWOOD SA AUS -$50.00 $30,136.50 | Card xx0018 | Value Date: 30/07/2026</t>
  </si>
  <si>
    <t>01 Aug 2026 HUNGRYPANDA AU PRAHRAN VI AUS -$15.57 $30,120.93 | Card xx0018 | Value Date: 30/07/2026</t>
  </si>
  <si>
    <t>01 Aug 2026 FLYING HAT SYDNEY AUS -$6.07 $30,114.86 | Card xx0018 | Value Date: 29/07/2026</t>
  </si>
  <si>
    <t>01 Aug 2026 TFNSW OPAL FARE SYDNEY AUS -$5.77 $30,109.09 | Card xx0018 | Value Date: 30/07/2026</t>
  </si>
  <si>
    <t>CONS CONTINENTAL DELI GLENBROOK AU</t>
  </si>
  <si>
    <t>CONS CONTINENTAL DELI GLENBROOK</t>
  </si>
  <si>
    <t>fallback:deli</t>
  </si>
  <si>
    <t>01 Aug 2026 CONS CONTINENTAL DELI GLENBROOK AU -$18.50 $30,090.59</t>
  </si>
  <si>
    <t>01 Aug 2026 CONS CONTINENTAL DELI GLENBROOK AU -$8.12 $30,082.47</t>
  </si>
  <si>
    <t>Reddy Express 1697 Lawson AU</t>
  </si>
  <si>
    <t>Reddy Express 1697 Lawson</t>
  </si>
  <si>
    <t>fallback:reddy express</t>
  </si>
  <si>
    <t>01 Aug 2026 Reddy Express 1697 Lawson AU -$22.67 $30,059.80</t>
  </si>
  <si>
    <t>02 Aug 2026 SQ *SACREBLEU ! CANELE dee why AU -$35.03 $30,024.77</t>
  </si>
  <si>
    <t>02 Aug 2026 SQ *SACREBLEU ! CANELE dee why AU -$9.64 $30,015.13</t>
  </si>
  <si>
    <t>PayID Phone from CommBank App | Food</t>
  </si>
  <si>
    <t>02 Aug 2026 Transfer To O ARSLAN -$6.00 $30,009.13 | PayID Phone from CommBank App | Food</t>
  </si>
  <si>
    <t>02 Aug 2026 IGA DEE WHY L0347 DEE WHY NSW AU -$4.49 $30,004.64</t>
  </si>
  <si>
    <t>03 Aug 2026 ZLR*Cozy &amp; Brew Co. Sydney AU -$5.58 $29,999.06</t>
  </si>
  <si>
    <t>03 Aug 2026 COLES 0784 DEE WHY AU -$23.01 $29,976.05</t>
  </si>
  <si>
    <t>03 Aug 2026 Direct Debit 012495 GU HEALTH D/DBT -$139.08 $29,836.97 | 29497443</t>
  </si>
  <si>
    <t>Card xx6220 | Value Date: 02/08/2026</t>
  </si>
  <si>
    <t>04 Aug 2026 AMAZON AU MARKETPLACE SYDNEY AUS -$57.76 $29,779.21 | Card xx6220 | Value Date: 02/08/2026</t>
  </si>
  <si>
    <t>SP ALL THINGS GOLDEN HAWTHORN VI AUS</t>
  </si>
  <si>
    <t>ALL THINGS GOLDEN HAWTHORN</t>
  </si>
  <si>
    <t>04 Aug 2026 SP ALL THINGS GOLDEN HAWTHORN VI AUS -$133.20 $29,646.01 | Card xx6220 | Value Date: 02/08/2026</t>
  </si>
  <si>
    <t>Card xx6220 | Value Date: 31/07/2026</t>
  </si>
  <si>
    <t>04 Aug 2026 AMAZON AU MARKETPLACE SYDNEY AUS -$14.29 $29,631.72 | Card xx6220 | Value Date: 31/07/2026</t>
  </si>
  <si>
    <t>DEPOP* P471169745292 SYDNEY NS AUS</t>
  </si>
  <si>
    <t>Depop</t>
  </si>
  <si>
    <t>contains:DEPOP</t>
  </si>
  <si>
    <t>04 Aug 2026 DEPOP* P471169745292 SYDNEY NS AUS -$43.94 $29,587.78 | Card xx6220 | Value Date: 31/07/2026</t>
  </si>
  <si>
    <t>Card xx2810 | Value Date: 01/08/2026</t>
  </si>
  <si>
    <t>04 Aug 2026 COSTCO WHOLESALE PTY LIDCOMBE AUS -$7.97 $29,579.81 | Card xx2810 | Value Date: 01/08/2026</t>
  </si>
  <si>
    <t>The Trustee for Chrom Dee Why NS AUS</t>
  </si>
  <si>
    <t>Card xx2810 | Value Date: 02/08/2026</t>
  </si>
  <si>
    <t>The Trustee for Chrom Dee Why</t>
  </si>
  <si>
    <t>04 Aug 2026 The Trustee for Chrom Dee Why NS AUS -$5.47 $29,574.34 | Card xx2810 | Value Date: 02/08/2026</t>
  </si>
  <si>
    <t>04 Aug 2026 COLES 0784 DEE WHY NS AUS -$90.67 $29,483.67 | Card xx2810 | Value Date: 02/08/2026</t>
  </si>
  <si>
    <t>COSTCO GAS AUBURN LIDCOMBE AU AUS</t>
  </si>
  <si>
    <t>Costco Gas</t>
  </si>
  <si>
    <t>contains:COSTCO GAS</t>
  </si>
  <si>
    <t>04 Aug 2026 COSTCO GAS AUBURN LIDCOMBE AU AUS -$40.00 $29,443.67 | Card xx2810 | Value Date: 01/08/2026</t>
  </si>
  <si>
    <t>04 Aug 2026 COSTCO GAS AUBURN LIDCOMBE AU AUS -$40.00 $29,403.67 | Card xx2810 | Value Date: 01/08/2026</t>
  </si>
  <si>
    <t>Card xx2810 | Value Date: 31/07/2026</t>
  </si>
  <si>
    <t>04 Aug 2026 BITE* BBDEE WHY SANCROX NS AUS -$28.80 $29,374.87 | Card xx2810 | Value Date: 31/07/2026</t>
  </si>
  <si>
    <t>BWS LIQUOR 6593 DEE WHY NS AUS</t>
  </si>
  <si>
    <t>BWS LIQUOR 6593 DEE WHY</t>
  </si>
  <si>
    <t>04 Aug 2026 BWS LIQUOR 6593 DEE WHY NS AUS -$25.00 $29,349.87 | Card xx2810 | Value Date: 31/07/2026</t>
  </si>
  <si>
    <t>Card xx0018 | Value Date: 02/08/2026</t>
  </si>
  <si>
    <t>04 Aug 2026 Guzman Y Gomez Franch Surry Hills NS AUS -$27.70 $29,322.17 | Card xx0018 | Value Date: 02/08/2026</t>
  </si>
  <si>
    <t>Card xx0018 | Value Date: 01/08/2026</t>
  </si>
  <si>
    <t>04 Aug 2026 COLES 0784 DEE WHY NS AUS -$26.93 $29,295.24 | Card xx0018 | Value Date: 01/08/2026</t>
  </si>
  <si>
    <t>04 Aug 2026 WEI AND HONG PTY LTD DEE WHY AU AUS -$5.08 $29,290.16 | Card xx0018 | Value Date: 01/08/2026</t>
  </si>
  <si>
    <t>eBay O*20-14954-57681 San Jose CA USA</t>
  </si>
  <si>
    <t>Card xx0018 USD 63.13 | Value Date: 01/08/2026</t>
  </si>
  <si>
    <t>eBay O*20-14954-57681 San Jose CA</t>
  </si>
  <si>
    <t>fallback:ebay</t>
  </si>
  <si>
    <t>04 Aug 2026 eBay O*20-14954-57681 San Jose CA USA -$90.33 $29,199.83 | Card xx0018 USD 63.13 | Value Date: 01/08/2026</t>
  </si>
  <si>
    <t>Value Date: 01/08/2026</t>
  </si>
  <si>
    <t>04 Aug 2026 International Transaction Fee -$3.16 $29,196.67 | Value Date: 01/08/2026</t>
  </si>
  <si>
    <t>Card xx0018 | Value Date: 31/07/2026</t>
  </si>
  <si>
    <t>04 Aug 2026 EJ FAMILY TRUST SYDNEY NS AUS -$16.18 $29,180.49 | Card xx0018 | Value Date: 31/07/2026</t>
  </si>
  <si>
    <t>eBay O*03-14981-12694 San Jose CA USA</t>
  </si>
  <si>
    <t>Card xx0018 USD 68.31 | Value Date: 31/07/2026</t>
  </si>
  <si>
    <t>eBay O*03-14981-12694 San Jose CA</t>
  </si>
  <si>
    <t>04 Aug 2026 eBay O*03-14981-12694 San Jose CA USA -$98.71 $29,081.78 | Card xx0018 USD 68.31 | Value Date: 31/07/2026</t>
  </si>
  <si>
    <t>Value Date: 31/07/2026</t>
  </si>
  <si>
    <t>04 Aug 2026 International Transaction Fee -$3.45 $29,078.33 | Value Date: 31/07/2026</t>
  </si>
  <si>
    <t>Gong cha Regent Place Sydney NS AUS</t>
  </si>
  <si>
    <t>Gong cha Regent Place Sydney</t>
  </si>
  <si>
    <t>fallback:gong cha</t>
  </si>
  <si>
    <t>04 Aug 2026 Gong cha Regent Place Sydney NS AUS -$8.02 $29,070.31 | Card xx0018 | Value Date: 31/07/2026</t>
  </si>
  <si>
    <t>04 Aug 2026 ZLR*Cozy &amp; Brew Co. Sydney AU -$5.58 $29,064.73</t>
  </si>
  <si>
    <t>GLOBAL-E* PEPPER MELBOURNE VI AUS</t>
  </si>
  <si>
    <t>GLOBAL-E* PEPPER MELBOURNE</t>
  </si>
  <si>
    <t>05 Aug 2026 GLOBAL-E* PEPPER MELBOURNE VI AUS -$170.00 $28,894.73 | Card xx6220 | Value Date: 02/08/2026</t>
  </si>
  <si>
    <t>W RETAIL GROUP PTY LTD SYDNEY AUS</t>
  </si>
  <si>
    <t>Card xx0018 | Value Date: 03/08/2026</t>
  </si>
  <si>
    <t>W RETAIL GROUP PTY LTD SYDNEY</t>
  </si>
  <si>
    <t>05 Aug 2026 W RETAIL GROUP PTY LTD SYDNEY AUS -$45.17 $28,849.56 | Card xx0018 | Value Date: 03/08/2026</t>
  </si>
  <si>
    <t>Card xx0018 USD 49.00 | Value Date: 03/08/2026</t>
  </si>
  <si>
    <t>05 Aug 2026 BEAUTYFASCIA SHERIDAN WY USA -$70.11 $28,779.45 | Card xx0018 USD 49.00 | Value Date: 03/08/2026</t>
  </si>
  <si>
    <t>Value Date: 02/08/2026</t>
  </si>
  <si>
    <t>05 Aug 2026 International Transaction Fee -$2.45 $28,777.00 | Value Date: 02/08/2026</t>
  </si>
  <si>
    <t>05 Aug 2026 Guzman Y Gomez Franch Surry Hills NS AUS -$27.10 $28,749.90 | Card xx0018 | Value Date: 03/08/2026</t>
  </si>
  <si>
    <t>05 Aug 2026 ZLR*Cozy &amp; Brew Co. Sydney AU -$5.58 $28,744.32</t>
  </si>
  <si>
    <t>AMBITIONS_V1ngiDmK</t>
  </si>
  <si>
    <t>05 Aug 2026 Direct Debit 507156 MBAUDPayments -$68.00 $28,676.32 | AMBITIONS_V1ngiDmK</t>
  </si>
  <si>
    <t>Card xx2810 | Value Date: 05/08/2026</t>
  </si>
  <si>
    <t>06 Aug 2026 COSTCO WHOLESALE PTY LIDCOMBE AUS -$4.98 $28,671.34 | Card xx2810 | Value Date: 05/08/2026</t>
  </si>
  <si>
    <t>Card xx2810 | Value Date: 04/08/2026</t>
  </si>
  <si>
    <t>06 Aug 2026 BITE* BBDEE WHY SANCROX NS AUS -$29.82 $28,641.52 | Card xx2810 | Value Date: 04/08/2026</t>
  </si>
  <si>
    <t>Card xx6220 | Value Date: 04/08/2026</t>
  </si>
  <si>
    <t>06 Aug 2026 TRANSPORTFORNSW OPAL CHIPPENDALE AUS -$60.00 $28,581.52 | Card xx6220 | Value Date: 04/08/2026</t>
  </si>
  <si>
    <t>LS Parami SYDNEY AU AUS</t>
  </si>
  <si>
    <t>Card xx0018 | Value Date: 04/08/2026</t>
  </si>
  <si>
    <t>Parami SYDNEY</t>
  </si>
  <si>
    <t>fallback:parami</t>
  </si>
  <si>
    <t>06 Aug 2026 LS Parami SYDNEY AU AUS -$25.01 $28,556.51 | Card xx0018 | Value Date: 04/08/2026</t>
  </si>
  <si>
    <t>COSTCO AUBURN LIDCOMBE NS AUS</t>
  </si>
  <si>
    <t>contains:COSTCO AUBURN</t>
  </si>
  <si>
    <t>07 Aug 2026 COSTCO AUBURN LIDCOMBE NS AUS -$137.72 $28,418.79 | Card xx2810 | Value Date: 05/08/2026</t>
  </si>
  <si>
    <t>Adidas AU Pty Ltd Mulgrave AU AUS</t>
  </si>
  <si>
    <t>Card xx0018 | Value Date: 05/08/2026</t>
  </si>
  <si>
    <t>Adidas</t>
  </si>
  <si>
    <t>contains:ADIDAS</t>
  </si>
  <si>
    <t>07 Aug 2026 Adidas AU Pty Ltd Mulgrave AU AUS -$176.00 $28,242.79 | Card xx0018 | Value Date: 05/08/2026</t>
  </si>
  <si>
    <t>07 Aug 2026 KMART 1378 BROOKVALE AU -$25.00 $28,217.79</t>
  </si>
  <si>
    <t>07 Aug 2026 Molly Tea Regent Plac Sydney AU -$8.03 $28,209.76</t>
  </si>
  <si>
    <t>EZYPAYID_104998070</t>
  </si>
  <si>
    <t>07 Aug 2026 Direct Debit 518073 Crunch Fitness - -$22.90 $28,186.86 | EZYPAYID_104998070</t>
  </si>
  <si>
    <t>EZYPAYID_104997467</t>
  </si>
  <si>
    <t>07 Aug 2026 Direct Debit 518073 Crunch Fitness - -$30.90 $28,155.96 | EZYPAYID_104997467</t>
  </si>
  <si>
    <t>Card xx2810 | Value Date: 06/08/2026</t>
  </si>
  <si>
    <t>08 Aug 2026 COLES 0784 DEE WHY NS AUS -$39.03 $28,116.93 | Card xx2810 | Value Date: 06/08/2026</t>
  </si>
  <si>
    <t>Card xx0018 | Value Date: 06/08/2026</t>
  </si>
  <si>
    <t>08 Aug 2026 TFNSW OPAL FARE SYDNEY AUS -$5.77 $28,111.16 | Card xx0018 | Value Date: 06/08/2026</t>
  </si>
  <si>
    <t>SQ *ALL PURPOSE BAKERY Sydney NS AUS</t>
  </si>
  <si>
    <t>08 Aug 2026 SQ *ALL PURPOSE BAKERY Sydney NS AUS -$9.09 $28,102.07 | Card xx0018 | Value Date: 06/08/2026</t>
  </si>
  <si>
    <t>SQ *OFFSET X D Sydney NS AUS</t>
  </si>
  <si>
    <t>OFFSET X D Sydney</t>
  </si>
  <si>
    <t>08 Aug 2026 SQ *OFFSET X D Sydney NS AUS -$6.10 $28,095.97 | Card xx0018 | Value Date: 06/08/2026</t>
  </si>
  <si>
    <t>08 Aug 2026 COLES 0784 DEE WHY AU -$12.83 $28,083.14</t>
  </si>
  <si>
    <t>UNITED EMPIRE BAY EMPIRE BAY AU</t>
  </si>
  <si>
    <t>UNITED EMPIRE BAY EMPIRE BAY</t>
  </si>
  <si>
    <t>08 Aug 2026 UNITED EMPIRE BAY EMPIRE BAY AU -$9.00 $28,074.14</t>
  </si>
  <si>
    <t>09 Aug 2026 COLES 0784 DEE WHY AU -$4.00 $28,070.14</t>
  </si>
  <si>
    <t>09 Aug 2026 COLES 0784 DEE WHY AU -$16.50 $28,053.64</t>
  </si>
  <si>
    <t>10 Aug 2026 MUJI RETAIL (AUSTRAL SYDNEY AU -$31.30 $28,022.34</t>
  </si>
  <si>
    <t>Card xx6220 | Value Date: 08/08/2026</t>
  </si>
  <si>
    <t>11 Aug 2026 ENERGYAUSTRALIA PTY LT MELBOURNE AUS -$223.98 $27,798.36 | Card xx6220 | Value Date: 08/08/2026</t>
  </si>
  <si>
    <t>GS1 US, INC. 6096204612 NJ USA</t>
  </si>
  <si>
    <t>Card xx6220 USD 30.00 | Value Date: 07/08/2026</t>
  </si>
  <si>
    <t>GS1 US</t>
  </si>
  <si>
    <t>contains:GS1 US</t>
  </si>
  <si>
    <t>11 Aug 2026 GS1 US, INC. 6096204612 NJ USA -$42.70 $27,755.66 | Card xx6220 USD 30.00 | Value Date: 07/08/2026</t>
  </si>
  <si>
    <t>Value Date: 07/08/2026</t>
  </si>
  <si>
    <t>11 Aug 2026 International Transaction Fee -$1.49 $27,754.17 | Value Date: 07/08/2026</t>
  </si>
  <si>
    <t>NSW National Parks Parramatta NS AUS</t>
  </si>
  <si>
    <t>Card xx2810 | Value Date: 08/08/2026</t>
  </si>
  <si>
    <t>contains:NSW NATIONAL PARKS</t>
  </si>
  <si>
    <t>11 Aug 2026 NSW National Parks Parramatta NS AUS -$8.00 $27,746.17 | Card xx2810 | Value Date: 08/08/2026</t>
  </si>
  <si>
    <t>Bambolina D&amp;C Dee Why NS AUS</t>
  </si>
  <si>
    <t>Card xx2810 | Value Date: 09/08/2026</t>
  </si>
  <si>
    <t>Bambolina D&amp;C Dee Why</t>
  </si>
  <si>
    <t>fallback:bambolina</t>
  </si>
  <si>
    <t>11 Aug 2026 Bambolina D&amp;C Dee Why NS AUS -$5.50 $27,740.67 | Card xx2810 | Value Date: 09/08/2026</t>
  </si>
  <si>
    <t>SQ *HANK'S SPECIALTY C Ettalong Beac NS AUS</t>
  </si>
  <si>
    <t>HANK'S SPECIALTY C Ettalong Beac</t>
  </si>
  <si>
    <t>11 Aug 2026 SQ *HANK'S SPECIALTY C Ettalong Beac NS AUS -$21.00 $27,719.67 | Card xx2810 | Value Date: 08/08/2026</t>
  </si>
  <si>
    <t>THE REJECT SHOP A100 BROOKVALE NS AUS</t>
  </si>
  <si>
    <t>Card xx2810 | Value Date: 07/08/2026</t>
  </si>
  <si>
    <t>11 Aug 2026 THE REJECT SHOP A100 BROOKVALE NS AUS -$17.75 $27,701.92 | Card xx2810 | Value Date: 07/08/2026</t>
  </si>
  <si>
    <t>SQ *SULO?S SHISH KEBAB Ettalong Beac NS AUS</t>
  </si>
  <si>
    <t>SULO?S SHISH KEBAB Ettalong Beac</t>
  </si>
  <si>
    <t>11 Aug 2026 SQ *SULO?S SHISH KEBAB Ettalong Beac NS AUS -$70.82 $27,631.10 | Card xx2810 | Value Date: 08/08/2026</t>
  </si>
  <si>
    <t>SQ *FOUR BROTHERS ESPR Warringah Mal NS AUS</t>
  </si>
  <si>
    <t>FOUR BROTHERS ESPR Warringah Mal</t>
  </si>
  <si>
    <t>11 Aug 2026 SQ *FOUR BROTHERS ESPR Warringah Mal NS AUS -$5.38 $27,625.72 | Card xx2810 | Value Date: 07/08/2026</t>
  </si>
  <si>
    <t>11 Aug 2026 SQ *WINGMILL Dee Why NS AUS -$61.00 $27,564.72 | Card xx2810 | Value Date: 07/08/2026</t>
  </si>
  <si>
    <t>11 Aug 2026 SQ *WINGMILL Dee Why NS AUS -$6.00 $27,558.72 | Card xx2810 | Value Date: 07/08/2026</t>
  </si>
  <si>
    <t>Return eBay O*03-14981-12694 San Jose CA USA</t>
  </si>
  <si>
    <t>Card xx0018 USD 68.31 | Value Date: 08/08/2026</t>
  </si>
  <si>
    <t>Return eBay O*03-14981-12694 San Jose CA</t>
  </si>
  <si>
    <t>11 Aug 2026 Return eBay O*03-14981-12694 San Jose CA USA $97.31 $27,656.03 | Card xx0018 USD 68.31 | Value Date: 08/08/2026</t>
  </si>
  <si>
    <t>SQ *SACREBLEU ] CANELE dee why NS AUS</t>
  </si>
  <si>
    <t>Card xx0018 | Value Date: 09/08/2026</t>
  </si>
  <si>
    <t>SACREBLEU ] CANELE dee why</t>
  </si>
  <si>
    <t>11 Aug 2026 SQ *SACREBLEU ] CANELE dee why NS AUS -$35.04 $27,620.99 | Card xx0018 | Value Date: 09/08/2026</t>
  </si>
  <si>
    <t>SQ *DY LOCAL Dee Why NS AUS</t>
  </si>
  <si>
    <t>11 Aug 2026 SQ *DY LOCAL Dee Why NS AUS -$10.20 $27,610.79 | Card xx0018 | Value Date: 09/08/2026</t>
  </si>
  <si>
    <t>11 Aug 2026 COLES 0784 DEE WHY NS AUS -$63.85 $27,546.94 | Card xx0018 | Value Date: 09/08/2026</t>
  </si>
  <si>
    <t>Card xx0018 | Value Date: 08/08/2026</t>
  </si>
  <si>
    <t>11 Aug 2026 TFNSW OPAL FARE SYDNEY AUS -$4.03 $27,542.91 | Card xx0018 | Value Date: 08/08/2026</t>
  </si>
  <si>
    <t>Card xx0018 | Value Date: 07/08/2026</t>
  </si>
  <si>
    <t>11 Aug 2026 FLYING HAT SYDNEY AUS -$6.07 $27,536.84 | Card xx0018 | Value Date: 07/08/2026</t>
  </si>
  <si>
    <t>11 Aug 2026 SQ *HANK'S SPECIALTY C Ettalong Beac NS AUS -$21.50 $27,515.34 | Card xx0018 | Value Date: 08/08/2026</t>
  </si>
  <si>
    <t>SQ *BARREL BELOW Sydney NS AUS</t>
  </si>
  <si>
    <t>Barrel Below</t>
  </si>
  <si>
    <t>contains:BARREL BELOW</t>
  </si>
  <si>
    <t>11 Aug 2026 SQ *BARREL BELOW Sydney NS AUS -$4.05 $27,511.29 | Card xx0018 | Value Date: 07/08/2026</t>
  </si>
  <si>
    <t>LS NORTHERN BEACHES R BROOKVALE AU</t>
  </si>
  <si>
    <t>NORTHERN BEACHES R BROOKVALE</t>
  </si>
  <si>
    <t>11 Aug 2026 LS NORTHERN BEACHES R BROOKVALE AU -$15.00 $27,496.29</t>
  </si>
  <si>
    <t>11 Aug 2026 LS NORTHERN BEACHES R BROOKVALE AU -$7.00 $27,489.29</t>
  </si>
  <si>
    <t>Card xx6220 | Value Date: 09/08/2026</t>
  </si>
  <si>
    <t>12 Aug 2026 AMAZON AU MARKETPLACE SYDNEY AUS -$67.12 $27,422.17 | Card xx6220 | Value Date: 09/08/2026</t>
  </si>
  <si>
    <t>12 Aug 2026 AMAZON AU MARKETPLACE SYDNEY AUS -$24.94 $27,397.23 | Card xx6220 | Value Date: 09/08/2026</t>
  </si>
  <si>
    <t>12 Aug 2026 AMAZON AU MARKETPLACE SYDNEY AUS -$22.45 $27,374.78 | Card xx6220 | Value Date: 09/08/2026</t>
  </si>
  <si>
    <t>Card xx0018 | Value Date: 11/08/2026</t>
  </si>
  <si>
    <t>12 Aug 2026 SQ *BARREL BELOW Sydney NS AUS -$4.45 $27,370.33 | Card xx0018 | Value Date: 11/08/2026</t>
  </si>
  <si>
    <t>Card xx0018 | Value Date: 10/08/2026</t>
  </si>
  <si>
    <t>12 Aug 2026 SQ *BARREL BELOW Sydney NS AUS -$9.11 $27,361.22 | Card xx0018 | Value Date: 10/08/2026</t>
  </si>
  <si>
    <t>12 Aug 2026 DODO SERVICES PTY LTD MELBOURNE VI AUS -$73.99 $27,287.23 | Card xx0018 | Value Date: 08/08/2026</t>
  </si>
  <si>
    <t>12 Aug 2026 Guzman Y Gomez Franch Surry Hills NS AUS -$27.10 $27,260.13 | Card xx0018 | Value Date: 10/08/2026</t>
  </si>
  <si>
    <t>AUTO DYNAMICS MECHANICALSBROOKVALE AU</t>
  </si>
  <si>
    <t>Auto Dynamics</t>
  </si>
  <si>
    <t>contains:AUTO DYNAMICS</t>
  </si>
  <si>
    <t>12 Aug 2026 AUTO DYNAMICS MECHANICALSBROOKVALE AU -$100.00 $27,160.13</t>
  </si>
  <si>
    <t>12 Aug 2026 COLES 0784 DEE WHY AU -$7.80 $27,152.33</t>
  </si>
  <si>
    <t>AMBITIONS_V3QG2oGk</t>
  </si>
  <si>
    <t>12 Aug 2026 Direct Debit 507156 MBAUDPayments -$68.00 $27,084.33 | AMBITIONS_V3QG2oGk</t>
  </si>
  <si>
    <t>SQ *7 PERCENT COFFEE Sydney NS AUS</t>
  </si>
  <si>
    <t>7 PERCENT COFFEE Sydney</t>
  </si>
  <si>
    <t>13 Aug 2026 SQ *7 PERCENT COFFEE Sydney NS AUS -$9.14 $27,075.19 | Card xx0018 | Value Date: 11/08/2026</t>
  </si>
  <si>
    <t>13 Aug 2026 WOOLWORTHS 1472 DEE WHY NS AUS -$8.55 $27,066.64 | Card xx0018 | Value Date: 11/08/2026</t>
  </si>
  <si>
    <t>13 Aug 2026 DEFT REAL ESTATE NetBank BPAY 4481 -$1,720.00 $25,346.64 | 0053436473 Rent may 9 to 23</t>
  </si>
  <si>
    <t>Card xx2810 | Value Date: 12/08/2026</t>
  </si>
  <si>
    <t>14 Aug 2026 COLES 0784 DEE WHY NS AUS -$36.70 $25,309.94 | Card xx2810 | Value Date: 12/08/2026</t>
  </si>
  <si>
    <t>Card xx0018 | Value Date: 12/08/2026</t>
  </si>
  <si>
    <t>14 Aug 2026 TFNSW OPAL FARE SYDNEY AUS -$4.03 $25,305.91 | Card xx0018 | Value Date: 12/08/2026</t>
  </si>
  <si>
    <t>Card xx0018 | Value Date: 13/08/2026</t>
  </si>
  <si>
    <t>14 Aug 2026 SQ *BARREL BELOW Sydney NS AUS -$4.05 $25,301.86 | Card xx0018 | Value Date: 13/08/2026</t>
  </si>
  <si>
    <t>14 Aug 2026 SQ *BARREL BELOW Sydney NS AUS -$4.05 $25,297.81 | Card xx0018 | Value Date: 12/08/2026</t>
  </si>
  <si>
    <t>JANOR GODDARD DEE WHY NSW AU</t>
  </si>
  <si>
    <t>JANOR GODDARD DEE WHY</t>
  </si>
  <si>
    <t>14 Aug 2026 JANOR GODDARD DEE WHY NSW AU -$21.50 $25,276.31</t>
  </si>
  <si>
    <t>Warringah Medical Brookvale AU</t>
  </si>
  <si>
    <t>Warringah Medical Brookvale</t>
  </si>
  <si>
    <t>fallback:medical</t>
  </si>
  <si>
    <t>14 Aug 2026 Warringah Medical Brookvale AU -$90.00 $25,186.31</t>
  </si>
  <si>
    <t>14 Aug 2026 TK MAXX WARRINGAH BROOKVALE NSWAU -$39.47 $25,146.84</t>
  </si>
  <si>
    <t>14 Aug 2026 KMART 1378 BROOKVALE AU -$7.00 $25,139.84</t>
  </si>
  <si>
    <t>THE BUREK GUY DEE WHY NSW AU</t>
  </si>
  <si>
    <t>THE BUREK GUY DEE WHY</t>
  </si>
  <si>
    <t>14 Aug 2026 THE BUREK GUY DEE WHY NSW AU -$6.11 $25,133.73</t>
  </si>
  <si>
    <t>Card xx6220 | Value Date: 12/08/2026</t>
  </si>
  <si>
    <t>15 Aug 2026 AMAZON AU RETAIL SYDNEY AUS -$40.95 $25,092.78 | Card xx6220 | Value Date: 12/08/2026</t>
  </si>
  <si>
    <t>Card xx2810 | Value Date: 13/08/2026</t>
  </si>
  <si>
    <t>15 Aug 2026 SQ *WINGMILL Dee Why NS AUS -$54.00 $25,038.78 | Card xx2810 | Value Date: 13/08/2026</t>
  </si>
  <si>
    <t>U GO MT COLAH MOUNT COLAH AU</t>
  </si>
  <si>
    <t>U GO MT COLAH MOUNT COLAH</t>
  </si>
  <si>
    <t>15 Aug 2026 U GO MT COLAH MOUNT COLAH AU -$50.00 $24,988.78</t>
  </si>
  <si>
    <t>DARYA PERSIAN S'MARKET HORNSBY NSW AU</t>
  </si>
  <si>
    <t>DARYA PERSIAN S'MARKET HORNSBY</t>
  </si>
  <si>
    <t>15 Aug 2026 DARYA PERSIAN S'MARKET HORNSBY NSW AU -$13.50 $24,975.28</t>
  </si>
  <si>
    <t>SMP*JAAM E JAM SUPERMA0 HORNSBY02 AU</t>
  </si>
  <si>
    <t>JAAM E JAM SUPERMA0 HORNSBY02</t>
  </si>
  <si>
    <t>15 Aug 2026 SMP*JAAM E JAM SUPERMA0 HORNSBY02 AU -$15.25 $24,960.03</t>
  </si>
  <si>
    <t>15 Aug 2026 DARYA PERSIAN S'MARKET HORNSBY NSW AU -$22.00 $24,938.03</t>
  </si>
  <si>
    <t>IKEA RHODES RHODES AU</t>
  </si>
  <si>
    <t>IKEA RHODES RHODES</t>
  </si>
  <si>
    <t>fallback:ikea</t>
  </si>
  <si>
    <t>15 Aug 2026 IKEA RHODES RHODES AU -$41.50 $24,896.53</t>
  </si>
  <si>
    <t>15 Aug 2026 IKEA RHODES RHODES AU -$21.23 $24,875.30</t>
  </si>
  <si>
    <t>15 Aug 2026 IKEA RHODES RHODES AU -$3.50 $24,871.80</t>
  </si>
  <si>
    <t>RAINBOWMEDICINE</t>
  </si>
  <si>
    <t>Rainbow Medicine</t>
  </si>
  <si>
    <t>contains:RAINBOWMEDICINE</t>
  </si>
  <si>
    <t>16 Aug 2026 RAINBOWMEDICINE -$204.60 $24,667.20</t>
  </si>
  <si>
    <t>17 Aug 2026 SMP*Hero Sushi Dee Why Dee Why02 AU -$5.05 $24,662.15</t>
  </si>
  <si>
    <t>FCS004610529212</t>
  </si>
  <si>
    <t>17 Aug 2026 Direct Credit 158824 AMAZON COMMERCIA $826.62 $25,488.77 | FCS004610529212</t>
  </si>
  <si>
    <t>699x57f3</t>
  </si>
  <si>
    <t>17 Aug 2026 Direct Debit 545383 Telstra Services -$138.00 $25,350.77 | 699x57f3</t>
  </si>
  <si>
    <t>Card xx6220 | Value Date: 15/08/2026</t>
  </si>
  <si>
    <t>18 Aug 2026 AMAZON AU MARKETPLACE SYDNEY AUS -$55.99 $25,294.78 | Card xx6220 | Value Date: 15/08/2026</t>
  </si>
  <si>
    <t>Card xx6220 | Value Date: 13/08/2026</t>
  </si>
  <si>
    <t>18 Aug 2026 TRANSPORTFORNSW OPAL CHIPPENDALE AUS -$60.00 $25,234.78 | Card xx6220 | Value Date: 13/08/2026</t>
  </si>
  <si>
    <t>Bare Naked Bowls Dee Dee Why NS AUS</t>
  </si>
  <si>
    <t>Card xx2810 | Value Date: 16/08/2026</t>
  </si>
  <si>
    <t>Bare Naked Bowls</t>
  </si>
  <si>
    <t>contains:BARE NAKED BOWLS</t>
  </si>
  <si>
    <t>18 Aug 2026 Bare Naked Bowls Dee Dee Why NS AUS -$5.53 $25,229.25 | Card xx2810 | Value Date: 16/08/2026</t>
  </si>
  <si>
    <t>18 Aug 2026 SQ *SACREBLEU ] CANELE dee why NS AUS -$26.41 $25,202.84 | Card xx2810 | Value Date: 16/08/2026</t>
  </si>
  <si>
    <t>COLES 0944 DEE WHY NS AUS</t>
  </si>
  <si>
    <t>COLES 0944 DEE WHY</t>
  </si>
  <si>
    <t>18 Aug 2026 COLES 0944 DEE WHY NS AUS -$82.38 $25,120.46 | Card xx2810 | Value Date: 16/08/2026</t>
  </si>
  <si>
    <t>18 Aug 2026 BWS LIQUOR 6593 DEE WHY NS AUS -$14.00 $25,106.46 | Card xx2810 | Value Date: 16/08/2026</t>
  </si>
  <si>
    <t>Card xx2810 | Value Date: 14/08/2026</t>
  </si>
  <si>
    <t>18 Aug 2026 BITE* BBDEE WHY SANCROX NS AUS -$35.92 $25,070.54 | Card xx2810 | Value Date: 14/08/2026</t>
  </si>
  <si>
    <t>SQ *JD'S FAMILY CAFE &amp; Kariong NS AUS</t>
  </si>
  <si>
    <t>Card xx0018 | Value Date: 15/08/2026</t>
  </si>
  <si>
    <t>JD'S FAMILY CAFE &amp; Kariong</t>
  </si>
  <si>
    <t>18 Aug 2026 SQ *JD'S FAMILY CAFE &amp; Kariong NS AUS -$24.67 $25,045.87 | Card xx0018 | Value Date: 15/08/2026</t>
  </si>
  <si>
    <t>SQ *BUNSIK RHODES Rhodes NS AUS</t>
  </si>
  <si>
    <t>BUNSIK RHODES Rhodes</t>
  </si>
  <si>
    <t>18 Aug 2026 SQ *BUNSIK RHODES Rhodes NS AUS -$9.10 $25,036.77 | Card xx0018 | Value Date: 15/08/2026</t>
  </si>
  <si>
    <t>Card xx0018 | Value Date: 14/08/2026</t>
  </si>
  <si>
    <t>18 Aug 2026 TFNSW OPAL FARE SYDNEY AUS -$10.26 $25,026.51 | Card xx0018 | Value Date: 14/08/2026</t>
  </si>
  <si>
    <t>18 Aug 2026 FLYING HAT SYDNEY AUS -$6.07 $25,020.44 | Card xx0018 | Value Date: 13/08/2026</t>
  </si>
  <si>
    <t>18 Aug 2026 100 CLARENCE PTY LTD SYDNEY AUS -$3.55 $25,016.89 | Card xx0018 | Value Date: 13/08/2026</t>
  </si>
  <si>
    <t>SQ *LAVERTY PATHOLOGY Brookvale NS AUS</t>
  </si>
  <si>
    <t>Laverty Pathology</t>
  </si>
  <si>
    <t>contains:LAVERTY PATHOLOGY</t>
  </si>
  <si>
    <t>18 Aug 2026 SQ *LAVERTY PATHOLOGY Brookvale NS AUS -$385.00 $24,631.89 | Card xx0018 | Value Date: 14/08/2026</t>
  </si>
  <si>
    <t>SQ *ROYAL COPENHAGEN D Dee Why NS AUS</t>
  </si>
  <si>
    <t>18 Aug 2026 SQ *ROYAL COPENHAGEN D Dee Why NS AUS -$5.08 $24,626.81 | Card xx0018 | Value Date: 14/08/2026</t>
  </si>
  <si>
    <t>IGA DEE WHY L0347 DEE WHY NS AUS</t>
  </si>
  <si>
    <t>18 Aug 2026 IGA DEE WHY L0347 DEE WHY NS AUS -$4.49 $24,622.32 | Card xx0018 | Value Date: 14/08/2026</t>
  </si>
  <si>
    <t>Direct Credit 406712 GRAND UNITED GU HEALTH 29497443</t>
  </si>
  <si>
    <t>Direct Credit 406712 GRAND UNITED GU HEALTH</t>
  </si>
  <si>
    <t>18 Aug 2026 Direct Credit 406712 GRAND UNITED $67.60 $24,689.92 | GU HEALTH 29497443</t>
  </si>
  <si>
    <t>19 Aug 2026 THE REJECT SHOP A117 DEE WHY NS AUS -$5.00 $24,684.92 | Card xx2810 | Value Date: 16/08/2026</t>
  </si>
  <si>
    <t>19 Aug 2026 VIET VIBE BROOKVALE AUS -$6.60 $24,678.32 | Card xx0018 | Value Date: 14/08/2026</t>
  </si>
  <si>
    <t>SLC WARRINGAH MALL P BROOKVALE NS AUS</t>
  </si>
  <si>
    <t>SLC WARRINGAH MALL P BROOKVALE</t>
  </si>
  <si>
    <t>19 Aug 2026 SLC WARRINGAH MALL P BROOKVALE NS AUS -$499.00 $24,179.32 | Card xx0018 | Value Date: 14/08/2026</t>
  </si>
  <si>
    <t>Card xx0018 | Value Date: 18/08/2026</t>
  </si>
  <si>
    <t>19 Aug 2026 Netflix.com Melbourne VI AUS -$9.99 $24,169.33 | Card xx0018 | Value Date: 18/08/2026</t>
  </si>
  <si>
    <t>Card xx0018 | Value Date: 17/08/2026</t>
  </si>
  <si>
    <t>19 Aug 2026 SQ *BARREL BELOW Sydney NS AUS -$4.05 $24,165.28 | Card xx0018 | Value Date: 17/08/2026</t>
  </si>
  <si>
    <t>19 Aug 2026 SQ *7 PERCENT COFFEE Sydney NS AUS -$5.08 $24,160.20 | Card xx0018 | Value Date: 17/08/2026</t>
  </si>
  <si>
    <t>19 Aug 2026 Guzman Y Gomez Franch Surry Hills NS AUS -$27.10 $24,133.10 | Card xx0018 | Value Date: 17/08/2026</t>
  </si>
  <si>
    <t>KOV SMART FOODKOV SMART FSydney AU</t>
  </si>
  <si>
    <t>KOV SMART FOODKOV SMART FSydney</t>
  </si>
  <si>
    <t>19 Aug 2026 KOV SMART FOODKOV SMART FSydney AU -$7.08 $24,126.02</t>
  </si>
  <si>
    <t>19 Aug 2026 SUSHI N PLUS PTY LTD SYDNEY NSW AU -$5.06 $24,120.96</t>
  </si>
  <si>
    <t>Hungry Jacks WoolloomoolooAU</t>
  </si>
  <si>
    <t>19 Aug 2026 Hungry Jacks WoolloomoolooAU -$11.75 $24,109.21</t>
  </si>
  <si>
    <t>AMBITIONS_V62qGp2Q</t>
  </si>
  <si>
    <t>19 Aug 2026 Direct Debit 507156 MBAUDPayments -$68.00 $24,041.21 | AMBITIONS_V62qGp2Q</t>
  </si>
  <si>
    <t>Card xx6220 | Value Date: 17/08/2026</t>
  </si>
  <si>
    <t>20 Aug 2026 Return AMAZON AU MARKETPLACE SYDNEY AUS $19.99 $24,061.20 | Card xx6220 | Value Date: 17/08/2026</t>
  </si>
  <si>
    <t>Kwik Kopy Market Stree Sydney NS AUS</t>
  </si>
  <si>
    <t>Kwik Kopy</t>
  </si>
  <si>
    <t>contains:KWIK KOPY</t>
  </si>
  <si>
    <t>20 Aug 2026 Kwik Kopy Market Stree Sydney NS AUS -$826.62 $23,234.58 | Card xx6220 | Value Date: 17/08/2026</t>
  </si>
  <si>
    <t>20 Aug 2026 SQ *BARREL BELOW Sydney NS AUS -$4.05 $23,230.53 | Card xx0018 | Value Date: 18/08/2026</t>
  </si>
  <si>
    <t>20 Aug 2026 CHEMIST WAREHOUSE DEE WHY NS AUS -$15.99 $23,214.54 | Card xx0018 | Value Date: 17/08/2026</t>
  </si>
  <si>
    <t>20 Aug 2026 JOHNNYGIOSPIZ* DEE WHY MARSDEN PARK NS -$35.92 $23,178.62 | AUS | Card xx0018 | Value Date: 18/08/2026</t>
  </si>
  <si>
    <t>EZYPAYID_106075737</t>
  </si>
  <si>
    <t>20 Aug 2026 Direct Debit 518073 Crunch Fitness - -$22.90 $23,155.72 | EZYPAYID_106075737</t>
  </si>
  <si>
    <t>EZYPAYID_106074735</t>
  </si>
  <si>
    <t>20 Aug 2026 Direct Debit 518073 Crunch Fitness - -$30.90 $23,124.82 | EZYPAYID_106074735</t>
  </si>
  <si>
    <t>SQ *P'NUT DEE WHY Dee Why NS AUS</t>
  </si>
  <si>
    <t>Card xx6220 | Value Date: 19/08/2026</t>
  </si>
  <si>
    <t>P'NUT DEE WHY Dee Why</t>
  </si>
  <si>
    <t>21 Aug 2026 SQ *P'NUT DEE WHY Dee Why NS AUS -$18.90 $23,105.92 | Card xx6220 | Value Date: 19/08/2026</t>
  </si>
  <si>
    <t>Card xx0018 | Value Date: 19/08/2026</t>
  </si>
  <si>
    <t>21 Aug 2026 SQ *BARREL BELOW Sydney NS AUS -$4.05 $23,101.87 | Card xx0018 | Value Date: 19/08/2026</t>
  </si>
  <si>
    <t>AURIENTO PTY LTD LANE COVE NS AUS</t>
  </si>
  <si>
    <t>AURIENTO PTY LTD LANE COVE</t>
  </si>
  <si>
    <t>21 Aug 2026 AURIENTO PTY LTD LANE COVE NS AUS -$55.00 $23,046.87 | Card xx0018 | Value Date: 19/08/2026</t>
  </si>
  <si>
    <t>21 Aug 2026 UBER *TRIP HELP.UBER.C Sydney AU AUS -$45.64 $23,001.23 | Card xx0018 | Value Date: 19/08/2026</t>
  </si>
  <si>
    <t>21 Aug 2026 UBER *TRIP HELP.UBER.C Sydney AU AUS -$5.08 $22,996.15 | Card xx0018 | Value Date: 19/08/2026</t>
  </si>
  <si>
    <t>21 Aug 2026 Direct Credit 406712 GRAND UNITED $160.00 $23,156.15 | GU HEALTH 29497443</t>
  </si>
  <si>
    <t>Card xx2810 | Value Date: 20/08/2026</t>
  </si>
  <si>
    <t>22 Aug 2026 COLES 0784 DEE WHY NS AUS -$37.30 $23,118.85 | Card xx2810 | Value Date: 20/08/2026</t>
  </si>
  <si>
    <t>Card xx0018 | Value Date: 20/08/2026</t>
  </si>
  <si>
    <t>22 Aug 2026 TFNSW OPAL FARE SYDNEY AUS -$4.49 $23,114.36 | Card xx0018 | Value Date: 20/08/2026</t>
  </si>
  <si>
    <t>22 Aug 2026 100 CLARENCE PTY LTD SYDNEY AUS -$3.04 $23,111.32 | Card xx0018 | Value Date: 19/08/2026</t>
  </si>
  <si>
    <t>22 Aug 2026 SQ *BARREL BELOW Sydney NS AUS -$4.05 $23,107.27 | Card xx0018 | Value Date: 20/08/2026</t>
  </si>
  <si>
    <t>SQ *STOCK MARKET KITCH Sydney NS AUS</t>
  </si>
  <si>
    <t>Stock Market Kitchen</t>
  </si>
  <si>
    <t>contains:STOCK MARKET KITCH</t>
  </si>
  <si>
    <t>22 Aug 2026 SQ *STOCK MARKET KITCH Sydney NS AUS -$13.90 $23,093.37 | Card xx0018 | Value Date: 20/08/2026</t>
  </si>
  <si>
    <t>22 Aug 2026 Warringah Medical Brookvale AU -$90.00 $23,003.37</t>
  </si>
  <si>
    <t>TATRA DELICATESSEN PARRAMATTA NSWAU</t>
  </si>
  <si>
    <t>22 Aug 2026 TATRA DELICATESSEN PARRAMATTA NSWAU -$30.34 $22,973.03</t>
  </si>
  <si>
    <t>ZLR*Paper Plane Cafe Parramatta AU</t>
  </si>
  <si>
    <t>Paper Plane Cafe Parramatta</t>
  </si>
  <si>
    <t>22 Aug 2026 ZLR*Paper Plane Cafe Parramatta AU -$5.05 $22,967.98</t>
  </si>
  <si>
    <t>COZY BREW SPECIALTY CO CROMER AU</t>
  </si>
  <si>
    <t>COZY BREW SPECIALTY CO CROMER</t>
  </si>
  <si>
    <t>23 Aug 2026 COZY BREW SPECIALTY CO CROMER AU -$5.09 $22,962.89</t>
  </si>
  <si>
    <t>SQ *ROTI PIES North Narrabe AU</t>
  </si>
  <si>
    <t>ROTI PIES North Narrabe</t>
  </si>
  <si>
    <t>23 Aug 2026 SQ *ROTI PIES North Narrabe AU -$12.00 $22,950.89</t>
  </si>
  <si>
    <t>24 Aug 2026 COLES 0784 DEE WHY AU -$9.05 $22,941.84</t>
  </si>
  <si>
    <t>LS Austrian Beer Bar a Narrabeen AU AUS</t>
  </si>
  <si>
    <t>Card xx2810 | Value Date: 23/08/2026</t>
  </si>
  <si>
    <t>Austrian Beer Bar a Narrabeen</t>
  </si>
  <si>
    <t>25 Aug 2026 LS Austrian Beer Bar a Narrabeen AU AUS -$50.88 $22,890.96 | Card xx2810 | Value Date: 23/08/2026</t>
  </si>
  <si>
    <t>25 Aug 2026 SQ *SACREBLEU ] CANELE dee why NS AUS -$19.28 $22,871.68 | Card xx2810 | Value Date: 23/08/2026</t>
  </si>
  <si>
    <t>Card xx2810 | Value Date: 22/08/2026</t>
  </si>
  <si>
    <t>25 Aug 2026 COLES 0784 DEE WHY NS AUS -$26.80 $22,844.88 | Card xx2810 | Value Date: 22/08/2026</t>
  </si>
  <si>
    <t>EUROPEAN TASTE DELI Roseville NS AUS</t>
  </si>
  <si>
    <t>EUROPEAN TASTE DELI Roseville</t>
  </si>
  <si>
    <t>25 Aug 2026 EUROPEAN TASTE DELI Roseville NS AUS -$94.60 $22,750.28 | Card xx2810 | Value Date: 22/08/2026</t>
  </si>
  <si>
    <t>Card xx2810 | Value Date: 21/08/2026</t>
  </si>
  <si>
    <t>25 Aug 2026 SQ *WINGMILL Dee Why NS AUS -$75.00 $22,675.28 | Card xx2810 | Value Date: 21/08/2026</t>
  </si>
  <si>
    <t>Subway Dee Why Dee Why NS AUS</t>
  </si>
  <si>
    <t>Card xx0018 | Value Date: 22/08/2026</t>
  </si>
  <si>
    <t>Subway Dee Why Dee Why</t>
  </si>
  <si>
    <t>fallback:subway</t>
  </si>
  <si>
    <t>25 Aug 2026 Subway Dee Why Dee Why NS AUS -$20.95 $22,654.33 | Card xx0018 | Value Date: 22/08/2026</t>
  </si>
  <si>
    <t>Parramatta City Counci Parramatta NS AUS</t>
  </si>
  <si>
    <t>Parramatta City Counci Parramatta</t>
  </si>
  <si>
    <t>25 Aug 2026 Parramatta City Counci Parramatta NS AUS -$2.00 $22,652.33 | Card xx0018 | Value Date: 22/08/2026</t>
  </si>
  <si>
    <t>25 Aug 2026 TFNSW OPAL FARE SYDNEY AUS -$4.03 $22,648.30 | Card xx0018 | Value Date: 22/08/2026</t>
  </si>
  <si>
    <t>Card xx0018 | Value Date: 23/08/2026</t>
  </si>
  <si>
    <t>25 Aug 2026 COLES 0784 DEE WHY NS AUS -$68.60 $22,579.70 | Card xx0018 | Value Date: 23/08/2026</t>
  </si>
  <si>
    <t>SQ *PATAGONIA 2.0 Brookvale NS AUS</t>
  </si>
  <si>
    <t>Patagonia</t>
  </si>
  <si>
    <t>contains:PATAGONIA</t>
  </si>
  <si>
    <t>25 Aug 2026 SQ *PATAGONIA 2.0 Brookvale NS AUS -$34.81 $22,544.89 | Card xx0018 | Value Date: 22/08/2026</t>
  </si>
  <si>
    <t>25 Aug 2026 SQ *ROYAL COPENHAGEN D Dee Why NS AUS -$5.08 $22,539.81 | Card xx0018 | Value Date: 22/08/2026</t>
  </si>
  <si>
    <t>25 Aug 2026 BWS LIQUOR 6593 DEE WHY NS AUS -$15.00 $22,524.81 | Card xx0018 | Value Date: 22/08/2026</t>
  </si>
  <si>
    <t>25 Aug 2026 FLYING HAT SYDNEY AUS -$6.07 $22,518.74 | Card xx0018 | Value Date: 20/08/2026</t>
  </si>
  <si>
    <t>Card xx0018 | Value Date: 21/08/2026</t>
  </si>
  <si>
    <t>25 Aug 2026 SQ *BARREL BELOW Sydney NS AUS -$4.05 $22,514.69 | Card xx0018 | Value Date: 21/08/2026</t>
  </si>
  <si>
    <t>SQ *BUONGIORNO] Sydney NS AUS</t>
  </si>
  <si>
    <t>BUONGIORNO] Sydney</t>
  </si>
  <si>
    <t>25 Aug 2026 SQ *BUONGIORNO] Sydney NS AUS -$20.20 $22,494.49 | Card xx0018 | Value Date: 21/08/2026</t>
  </si>
  <si>
    <t>25 Aug 2026 Warringah Medical Brookvale AU -$90.00 $22,404.49</t>
  </si>
  <si>
    <t>25 Aug 2026 COLES 0784 DEE WHY AU -$3.82 $22,400.67</t>
  </si>
  <si>
    <t>ALDI STORES DEE WHY NSWAU</t>
  </si>
  <si>
    <t>ALDI</t>
  </si>
  <si>
    <t>contains:ALDI STORES</t>
  </si>
  <si>
    <t>25 Aug 2026 ALDI STORES DEE WHY NSWAU -$32.09 $22,368.58</t>
  </si>
  <si>
    <t>25 Aug 2026 M &amp; J TRADING UP PTY DEE WHY NSWAU -$6.20 $22,362.38</t>
  </si>
  <si>
    <t>25 Aug 2026 Direct Credit 406712 GRAND UNITED $67.60 $22,429.98 | GU HEALTH 29497443</t>
  </si>
  <si>
    <t>Card xx6220 | Value Date: 22/08/2026</t>
  </si>
  <si>
    <t>26 Aug 2026 AMAZON AU RETAIL SYDNEY AUS -$41.94 $22,388.04 | Card xx6220 | Value Date: 22/08/2026</t>
  </si>
  <si>
    <t>Card xx6220 | Value Date: 23/08/2026</t>
  </si>
  <si>
    <t>26 Aug 2026 AMAZON AU RETAIL SYDNEY AUS -$16.70 $22,371.34 | Card xx6220 | Value Date: 23/08/2026</t>
  </si>
  <si>
    <t>26 Aug 2026 AMAZON AU MARKETPLACE SYDNEY AUS -$24.89 $22,346.45 | Card xx6220 | Value Date: 23/08/2026</t>
  </si>
  <si>
    <t>JETSTARZPPZ5G COLLINGWOOD VI AUS</t>
  </si>
  <si>
    <t>JETSTARZPPZ5G COLLINGWOOD</t>
  </si>
  <si>
    <t>fallback:jetstar</t>
  </si>
  <si>
    <t>26 Aug 2026 JETSTARZPPZ5G COLLINGWOOD VI AUS -$418.00 $21,928.45 | Card xx6220 | Value Date: 23/08/2026</t>
  </si>
  <si>
    <t>26 Aug 2026 AMAZON AU RETAIL SYDNEY AUS -$22.79 $21,905.66 | Card xx6220 | Value Date: 23/08/2026</t>
  </si>
  <si>
    <t>Card xx0018 | Value Date: 24/08/2026</t>
  </si>
  <si>
    <t>26 Aug 2026 SQ *BARREL BELOW Sydney NS AUS -$4.05 $21,901.61 | Card xx0018 | Value Date: 24/08/2026</t>
  </si>
  <si>
    <t>SQ *CHUBBY CUBBY CAFE Sydney NS AUS</t>
  </si>
  <si>
    <t>CHUBBY CUBBY CAFE Sydney</t>
  </si>
  <si>
    <t>26 Aug 2026 SQ *CHUBBY CUBBY CAFE Sydney NS AUS -$5.08 $21,896.53 | Card xx0018 | Value Date: 24/08/2026</t>
  </si>
  <si>
    <t>FISHER RD STORE DEE WHY NS AUS</t>
  </si>
  <si>
    <t>FISHER RD STORE DEE WHY</t>
  </si>
  <si>
    <t>26 Aug 2026 FISHER RD STORE DEE WHY NS AUS -$7.03 $21,889.50 | Card xx0018 | Value Date: 23/08/2026</t>
  </si>
  <si>
    <t>26 Aug 2026 CHEMIST WAREHOUSE DEE WHY NS AUS -$21.98 $21,867.52 | Card xx0018 | Value Date: 22/08/2026</t>
  </si>
  <si>
    <t>Otogo Sydney NS AUS</t>
  </si>
  <si>
    <t>Otogo Sydney</t>
  </si>
  <si>
    <t>fallback:otogo</t>
  </si>
  <si>
    <t>26 Aug 2026 Otogo Sydney NS AUS -$11.17 $21,856.35 | Card xx0018 | Value Date: 24/08/2026</t>
  </si>
  <si>
    <t>-THE-ICONIC-896000000 BARANGAROO NS AUS</t>
  </si>
  <si>
    <t>The Iconic</t>
  </si>
  <si>
    <t>contains:THE-ICONIC</t>
  </si>
  <si>
    <t>26 Aug 2026 -THE-ICONIC-896000000 BARANGAROO NS AUS -$89.30 $21,767.05 | Card xx0018 | Value Date: 24/08/2026</t>
  </si>
  <si>
    <t>26 Aug 2026 COLES 0784 DEE WHY AU -$5.75 $21,761.30</t>
  </si>
  <si>
    <t>AMBITIONS_V8fQ1UU1</t>
  </si>
  <si>
    <t>26 Aug 2026 Direct Debit 507156 MBAUDPayments -$68.00 $21,693.30 | AMBITIONS_V8fQ1UU1</t>
  </si>
  <si>
    <t>Card xx0018 | Value Date: 25/08/2026</t>
  </si>
  <si>
    <t>27 Aug 2026 SQ *DY LOCAL Dee Why NS AUS -$14.28 $21,679.02 | Card xx0018 | Value Date: 25/08/2026</t>
  </si>
  <si>
    <t>27 Aug 2026 DEFT REAL ESTATE NetBank BPAY 4481 -$1,720.00 $19,959.02 | 0053436473 Rent may 9 to 23</t>
  </si>
  <si>
    <t>27 Aug 2026 Direct Credit 406712 GRAND UNITED $67.60 $20,026.62 | GU HEALTH 29497443</t>
  </si>
  <si>
    <t>Card xx6220 | Value Date: 26/08/2026</t>
  </si>
  <si>
    <t>28 Aug 2026 TRANSPORTFORNSW OPAL CHIPPENDALE AUS -$60.00 $19,966.62 | Card xx6220 | Value Date: 26/08/2026</t>
  </si>
  <si>
    <t>Card xx0018 | Value Date: 27/08/2026</t>
  </si>
  <si>
    <t>28 Aug 2026 SQ *BARREL BELOW Sydney NS AUS -$4.05 $19,962.57 | Card xx0018 | Value Date: 27/08/2026</t>
  </si>
  <si>
    <t>Card xx0018 USD 11.80 | Value Date: 25/08/2026</t>
  </si>
  <si>
    <t>28 Aug 2026 TELLO MOBILE ATLANTA GA USA -$16.51 $19,946.06 | Card xx0018 USD 11.80 | Value Date: 25/08/2026</t>
  </si>
  <si>
    <t>Value Date: 25/08/2026</t>
  </si>
  <si>
    <t>28 Aug 2026 International Transaction Fee -$0.58 $19,945.48 | Value Date: 25/08/2026</t>
  </si>
  <si>
    <t>Card xx0018 | Value Date: 26/08/2026</t>
  </si>
  <si>
    <t>28 Aug 2026 SQ *BARREL BELOW Sydney NS AUS -$4.05 $19,941.43 | Card xx0018 | Value Date: 26/08/2026</t>
  </si>
  <si>
    <t>SQ *GOZLEME KING - CBD Sydney NS AUS</t>
  </si>
  <si>
    <t>GOZLEME KING - CBD Sydney</t>
  </si>
  <si>
    <t>28 Aug 2026 SQ *GOZLEME KING - CBD Sydney NS AUS -$17.27 $19,924.16 | Card xx0018 | Value Date: 26/08/2026</t>
  </si>
  <si>
    <t>28 Aug 2026 SQ *GOZLEME KING - CBD Sydney NS AUS -$5.08 $19,919.08 | Card xx0018 | Value Date: 26/08/2026</t>
  </si>
  <si>
    <t>PDY004045520482</t>
  </si>
  <si>
    <t>28 Aug 2026 Direct Credit 158824 AMAZON COMML SEV $9,455.02 $29,374.10 | PDY004045520482</t>
  </si>
  <si>
    <t>28 Aug 2026 MUJI RETAIL (AUSTRAL SYDNEY AU -$29.95 $29,344.15</t>
  </si>
  <si>
    <t>EzyMart 460 George St Sydney AU</t>
  </si>
  <si>
    <t>EzyMart 460 George St Sydney</t>
  </si>
  <si>
    <t>28 Aug 2026 EzyMart 460 George St Sydney AU -$2.03 $29,342.12</t>
  </si>
  <si>
    <t>28 Aug 2026 Direct Credit 406712 GRAND UNITED $249.70 $29,591.82 | GU HEALTH 29497443</t>
  </si>
  <si>
    <t>28 Aug 2026 TK MAXX WARRINGAH BROOKVALE NSWAU -$9.99 $29,581.83</t>
  </si>
  <si>
    <t>28 Aug 2026 COLES 0784 DEE WHY AU -$22.20 $29,559.63</t>
  </si>
  <si>
    <t>Chill Bar DEE WHY NS AUS</t>
  </si>
  <si>
    <t>Card xx2810 | Value Date: 27/08/2026</t>
  </si>
  <si>
    <t>Chill Bar DEE WHY</t>
  </si>
  <si>
    <t>29 Aug 2026 Chill Bar DEE WHY NS AUS -$5.24 $29,554.39 | Card xx2810 | Value Date: 27/08/2026</t>
  </si>
  <si>
    <t>29 Aug 2026 SQ *ROYAL COPENHAGEN D Dee Why NS AUS -$5.08 $29,549.31 | Card xx2810 | Value Date: 27/08/2026</t>
  </si>
  <si>
    <t>29 Aug 2026 COLES 0784 DEE WHY NS AUS -$30.31 $29,519.00 | Card xx2810 | Value Date: 27/08/2026</t>
  </si>
  <si>
    <t>29 Aug 2026 TFNSW OPAL FARE SYDNEY AUS -$5.77 $29,513.23 | Card xx0018 | Value Date: 27/08/2026</t>
  </si>
  <si>
    <t>29 Aug 2026 SQ *STOCK MARKET KITCH Sydney NS AUS -$13.90 $29,499.33 | Card xx0018 | Value Date: 27/08/2026</t>
  </si>
  <si>
    <t>SP NATIVE BOTANICAL BR Noraville AU</t>
  </si>
  <si>
    <t>NATIVE BOTANICAL BR Noraville</t>
  </si>
  <si>
    <t>29 Aug 2026 SP NATIVE BOTANICAL BR Noraville AU -$8.00 $29,491.33</t>
  </si>
  <si>
    <t>SMP*DAIRY GOODNESS 0 EARLWOOD02 AU</t>
  </si>
  <si>
    <t>DAIRY GOODNESS 0 EARLWOOD02</t>
  </si>
  <si>
    <t>29 Aug 2026 SMP*DAIRY GOODNESS 0 EARLWOOD02 AU -$13.21 $29,478.12</t>
  </si>
  <si>
    <t>SQ *VANNELLA CHEESE (A Marrickville AU</t>
  </si>
  <si>
    <t>VANNELLA CHEESE (A Marrickville</t>
  </si>
  <si>
    <t>29 Aug 2026 SQ *VANNELLA CHEESE (A Marrickville AU -$8.00 $29,470.12</t>
  </si>
  <si>
    <t>29 Aug 2026 COLES 0784 DEE WHY AU -$7.30 $29,462.82</t>
  </si>
  <si>
    <t>29 Aug 2026 COLES 0784 DEE WHY AU -$7.55 $29,455.27</t>
  </si>
  <si>
    <t>MCDONALDS WYNYARD RL SYDNEY NSWAU</t>
  </si>
  <si>
    <t>30 Aug 2026 MCDONALDS WYNYARD RL SYDNEY NSWAU -$8.05 $29,447.22</t>
  </si>
  <si>
    <t>31 Aug 2026 Warringah Medical Brookvale AU -$90.00 $29,357.22</t>
  </si>
  <si>
    <t>WWW.YESDRIVE.COM.AU</t>
  </si>
  <si>
    <t>WWW.YESDRIVE.COM</t>
  </si>
  <si>
    <t>31 Aug 2026 WWW.YESDRIVE.COM.AU -$86.89 $29,270.33</t>
  </si>
  <si>
    <t>Sydney Olympic Park P5 Sydney Olympi NS AUS</t>
  </si>
  <si>
    <t>Card xx2810 | Value Date: 29/08/2026</t>
  </si>
  <si>
    <t>Sydney Olympic Park Parking</t>
  </si>
  <si>
    <t>contains:SYDNEY OLYMPIC PARK P5</t>
  </si>
  <si>
    <t>2026-09</t>
  </si>
  <si>
    <t>01 Sep 2026 Sydney Olympic Park P5 Sydney Olympi NS AUS -$40.00 $29,230.33 | Card xx2810 | Value Date: 29/08/2026</t>
  </si>
  <si>
    <t>SQ *SYDNEY SHOWGROUND Sydney Olympi NS AUS</t>
  </si>
  <si>
    <t>SYDNEY SHOWGROUND Sydney Olympi</t>
  </si>
  <si>
    <t>01 Sep 2026 SQ *SYDNEY SHOWGROUND Sydney Olympi NS AUS -$22.00 $29,208.33 | Card xx2810 | Value Date: 29/08/2026</t>
  </si>
  <si>
    <t>01 Sep 2026 SQ *SYDNEY SHOWGROUND Sydney Olympi NS AUS -$6.00 $29,202.33 | Card xx2810 | Value Date: 29/08/2026</t>
  </si>
  <si>
    <t>01 Sep 2026 COSTCO GAS AUBURN LIDCOMBE AU AUS -$80.00 $29,122.33 | Card xx2810 | Value Date: 29/08/2026</t>
  </si>
  <si>
    <t>Card xx2810 | Value Date: 28/08/2026</t>
  </si>
  <si>
    <t>01 Sep 2026 SQ *FOUR BROTHERS ESPR Warringah Mal NS AUS -$22.15 $29,100.18 | Card xx2810 | Value Date: 28/08/2026</t>
  </si>
  <si>
    <t>01 Sep 2026 SQ *WINGMILL Dee Why NS AUS -$79.00 $29,021.18 | Card xx2810 | Value Date: 28/08/2026</t>
  </si>
  <si>
    <t>Card xx0018 | Value Date: 30/08/2026</t>
  </si>
  <si>
    <t>01 Sep 2026 SQ *DY LOCAL Dee Why NS AUS -$10.20 $29,010.98 | Card xx0018 | Value Date: 30/08/2026</t>
  </si>
  <si>
    <t>01 Sep 2026 Guzman Y Gomez Franch Surry Hills NS AUS -$24.10 $28,986.88 | Card xx0018 | Value Date: 30/08/2026</t>
  </si>
  <si>
    <t>SQ *ZAVAGLIA'S FARM PR Glenorie NS AUS</t>
  </si>
  <si>
    <t>Card xx0018 | Value Date: 29/08/2026</t>
  </si>
  <si>
    <t>ZAVAGLIA'S FARM PR Glenorie</t>
  </si>
  <si>
    <t>01 Sep 2026 SQ *ZAVAGLIA'S FARM PR Glenorie NS AUS -$4.00 $28,982.88 | Card xx0018 | Value Date: 29/08/2026</t>
  </si>
  <si>
    <t>SQ *DANIEL MAY Potts Point NS AUS</t>
  </si>
  <si>
    <t>DANIEL MAY Potts Point</t>
  </si>
  <si>
    <t>01 Sep 2026 SQ *DANIEL MAY Potts Point NS AUS -$14.18 $28,968.70 | Card xx0018 | Value Date: 29/08/2026</t>
  </si>
  <si>
    <t>SQ *BAR COPAINS Surry Hills NS AUS</t>
  </si>
  <si>
    <t>BAR COPAINS Surry Hills</t>
  </si>
  <si>
    <t>01 Sep 2026 SQ *BAR COPAINS Surry Hills NS AUS -$195.07 $28,773.63 | Card xx0018 | Value Date: 29/08/2026</t>
  </si>
  <si>
    <t>SQ *SINGLE O CARRIAGEW Eveleigh NS AUS</t>
  </si>
  <si>
    <t>SINGLE O CARRIAGEW Eveleigh</t>
  </si>
  <si>
    <t>01 Sep 2026 SQ *SINGLE O CARRIAGEW Eveleigh NS AUS -$6.58 $28,767.05 | Card xx0018 | Value Date: 29/08/2026</t>
  </si>
  <si>
    <t>Card xx0018 | Value Date: 28/08/2026</t>
  </si>
  <si>
    <t>01 Sep 2026 TFNSW OPAL FARE SYDNEY AUS -$5.77 $28,761.28 | Card xx0018 | Value Date: 28/08/2026</t>
  </si>
  <si>
    <t>01 Sep 2026 SQ *BARREL BELOW Sydney NS AUS -$4.05 $28,757.23 | Card xx0018 | Value Date: 28/08/2026</t>
  </si>
  <si>
    <t>SQ *KWAFOOD FRIED SKEW Sydney NS AUS</t>
  </si>
  <si>
    <t>KWAFOOD FRIED SKEW Sydney</t>
  </si>
  <si>
    <t>01 Sep 2026 SQ *KWAFOOD FRIED SKEW Sydney NS AUS -$16.52 $28,740.71 | Card xx0018 | Value Date: 28/08/2026</t>
  </si>
  <si>
    <t>LSP*Mrs Jones the Bake Brookvale AU AUS</t>
  </si>
  <si>
    <t>Mrs Jones the Bake Brookvale</t>
  </si>
  <si>
    <t>01 Sep 2026 LSP*Mrs Jones the Bake Brookvale AU AUS -$5.02 $28,735.69 | Card xx0018 | Value Date: 28/08/2026</t>
  </si>
  <si>
    <t>01 Sep 2026 TIYEB STORE PTY LTD SYDNEY NSWAU -$4.03 $28,731.66</t>
  </si>
  <si>
    <t>01 Sep 2026 Direct Debit 012495 GU HEALTH D/DBT -$139.08 $28,592.58 | 29497443</t>
  </si>
  <si>
    <t>Card xx2810 | Value Date: 31/08/2026</t>
  </si>
  <si>
    <t>02 Sep 2026 BITE* BBDEE WHY SANCROX NS AUS -$30.83 $28,561.75 | Card xx2810 | Value Date: 31/08/2026</t>
  </si>
  <si>
    <t>AIRBNB * HMFHAFR8CS 4158005959 AU AUS</t>
  </si>
  <si>
    <t>Card xx0018 | Value Date: 31/08/2026</t>
  </si>
  <si>
    <t>02 Sep 2026 AIRBNB * HMFHAFR8CS 4158005959 AU AUS -$396.00 $28,165.75 | Card xx0018 | Value Date: 31/08/2026</t>
  </si>
  <si>
    <t>AIRBNB * HMXZ3S4TYC 4158005959 AU AUS</t>
  </si>
  <si>
    <t>02 Sep 2026 AIRBNB * HMXZ3S4TYC 4158005959 AU AUS -$326.00 $27,839.75 | Card xx0018 | Value Date: 31/08/2026</t>
  </si>
  <si>
    <t>02 Sep 2026 AURIENTO PTY LTD LANE COVE NS AUS -$40.80 $27,798.95 | Card xx0018 | Value Date: 30/08/2026</t>
  </si>
  <si>
    <t>02 Sep 2026 COLES 0784 DEE WHY NS AUS -$28.61 $27,770.34 | Card xx0018 | Value Date: 31/08/2026</t>
  </si>
  <si>
    <t>02 Sep 2026 MUJI RETAIL (AUSTRAL SYDNEY AU -$40.15 $27,730.19</t>
  </si>
  <si>
    <t>Uniqlo Australia Pty Ltd Sydney AU</t>
  </si>
  <si>
    <t>Uniqlo Pty Ltd Sydney</t>
  </si>
  <si>
    <t>fallback:uniqlo</t>
  </si>
  <si>
    <t>02 Sep 2026 Uniqlo Australia Pty Ltd Sydney AU -$39.90 $27,690.29</t>
  </si>
  <si>
    <t>HOUSE OF P* EVT LEARN</t>
  </si>
  <si>
    <t>02 Sep 2026 HOUSE OF P* EVT LEARN -$15.00 $27,675.29</t>
  </si>
  <si>
    <t>AMBITIONS_VBJ1hBw7</t>
  </si>
  <si>
    <t>02 Sep 2026 Direct Debit 507156 MBAUDPayments -$68.00 $27,607.29 | AMBITIONS_VBJ1hBw7</t>
  </si>
  <si>
    <t>Card xx2810 | Value Date: 01/09/2026</t>
  </si>
  <si>
    <t>03 Sep 2026 SEA VIEW CAFE &amp; RESTA Dee Why NS AUS -$4.56 $27,602.73 | Card xx2810 | Value Date: 01/09/2026</t>
  </si>
  <si>
    <t>Card xx6220 | Value Date: 01/09/2026</t>
  </si>
  <si>
    <t>03 Sep 2026 ENERGYAUSTRALIA PTY LT MELBOURNE AUS -$618.79 $26,983.94 | Card xx6220 | Value Date: 01/09/2026</t>
  </si>
  <si>
    <t>North Sandwich&amp;Burger Chippendale NS AUS</t>
  </si>
  <si>
    <t>Card xx0018 | Value Date: 01/09/2026</t>
  </si>
  <si>
    <t>North Sandwich&amp;Burger Chippendale</t>
  </si>
  <si>
    <t>fallback:sandwich</t>
  </si>
  <si>
    <t>03 Sep 2026 North Sandwich&amp;Burger Chippendale NS AUS -$18.83 $26,965.11 | Card xx0018 | Value Date: 01/09/2026</t>
  </si>
  <si>
    <t>03 Sep 2026 CHEMIST WAREHOUSE DEE WHY NS AUS -$11.99 $26,953.12 | Card xx0018 | Value Date: 31/08/2026</t>
  </si>
  <si>
    <t>03 Sep 2026 Direct Credit 406712 GRAND UNITED $67.60 $27,020.72 | GU HEALTH 29497443</t>
  </si>
  <si>
    <t>IELTS Australia Pty Lt 61396124400 VI AUS</t>
  </si>
  <si>
    <t>Card xx2810 | Value Date: 02/09/2026</t>
  </si>
  <si>
    <t>IELTS</t>
  </si>
  <si>
    <t>contains:IELTS</t>
  </si>
  <si>
    <t>04 Sep 2026 IELTS Australia Pty Lt 61396124400 VI AUS -$490.00 $26,530.72 | Card xx2810 | Value Date: 02/09/2026</t>
  </si>
  <si>
    <t>SPECSAVERS SYDNEY AUS</t>
  </si>
  <si>
    <t>Card xx0018 | Value Date: 03/09/2026</t>
  </si>
  <si>
    <t>SPECSAVERS SYDNEY</t>
  </si>
  <si>
    <t>fallback:specsavers</t>
  </si>
  <si>
    <t>04 Sep 2026 SPECSAVERS SYDNEY AUS -$153.00 $26,377.72 | Card xx0018 | Value Date: 03/09/2026</t>
  </si>
  <si>
    <t>Australia The Galaries SYD AU AUS</t>
  </si>
  <si>
    <t>Card xx0018 | Value Date: 02/09/2026</t>
  </si>
  <si>
    <t>The Galaries SYD</t>
  </si>
  <si>
    <t>04 Sep 2026 Australia The Galaries SYD AU AUS -$18.20 $26,359.52 | Card xx0018 | Value Date: 02/09/2026</t>
  </si>
  <si>
    <t>04 Sep 2026 KOV SMART FOODKOV SMART FSydney AU -$17.19 $26,342.33</t>
  </si>
  <si>
    <t>EZYPAYID_107713637</t>
  </si>
  <si>
    <t>04 Sep 2026 Direct Debit 518073 Crunch Fitness - -$22.90 $26,319.43 | EZYPAYID_107713637</t>
  </si>
  <si>
    <t>EZYPAYID_107712867</t>
  </si>
  <si>
    <t>04 Sep 2026 Direct Debit 518073 Crunch Fitness - -$30.90 $26,288.53 | EZYPAYID_107712867</t>
  </si>
  <si>
    <t>SQ *LEAF CAFE WESTMEAD Westmead NS AUS</t>
  </si>
  <si>
    <t>Card xx2810 | Value Date: 03/09/2026</t>
  </si>
  <si>
    <t>LEAF CAFE WESTMEAD Westmead</t>
  </si>
  <si>
    <t>05 Sep 2026 SQ *LEAF CAFE WESTMEAD Westmead NS AUS -$6.29 $26,282.24 | Card xx2810 | Value Date: 03/09/2026</t>
  </si>
  <si>
    <t>05 Sep 2026 COLES 0784 DEE WHY NS AUS -$41.09 $26,241.15 | Card xx2810 | Value Date: 03/09/2026</t>
  </si>
  <si>
    <t>05 Sep 2026 TFNSW OPAL FARE SYDNEY AUS -$5.77 $26,235.38 | Card xx0018 | Value Date: 03/09/2026</t>
  </si>
  <si>
    <t>05 Sep 2026 SUSHI HON SYDNEY NS AUS -$4.66 $26,230.72 | Card xx0018 | Value Date: 03/09/2026</t>
  </si>
  <si>
    <t>Espresso on Kent Sydney NS AUS</t>
  </si>
  <si>
    <t>Espresso on Kent Sydney</t>
  </si>
  <si>
    <t>05 Sep 2026 Espresso on Kent Sydney NS AUS -$6.00 $26,224.72 | Card xx0018 | Value Date: 03/09/2026</t>
  </si>
  <si>
    <t>05 Sep 2026 IGA DEE WHY L0347 DEE WHY NSW AU -$6.39 $26,218.33</t>
  </si>
  <si>
    <t>05 Sep 2026 LIQUORLAND 3626 DEE WHY AU -$13.49 $26,204.84</t>
  </si>
  <si>
    <t>05 Sep 2026 COLES 0784 DEE WHY AU -$10.50 $26,194.34</t>
  </si>
  <si>
    <t>06 Sep 2026 Transfer To O ARSLAN -$7.00 $26,187.34 | PayID Phone from CommBank App | Food</t>
  </si>
  <si>
    <t>TAXIPAY AUSTRALIA MASCOT NSWAU</t>
  </si>
  <si>
    <t>Taxi</t>
  </si>
  <si>
    <t>contains:TAXIPAY</t>
  </si>
  <si>
    <t>07 Sep 2026 TAXIPAY AUSTRALIA MASCOT NSWAU -$87.15 $26,100.19</t>
  </si>
  <si>
    <t>07 Sep 2026 COLES 0784 DEE WHY AU -$2.46 $26,097.73</t>
  </si>
  <si>
    <t>YQME FOOD ORDERING FRENCHS FORES AU AUS</t>
  </si>
  <si>
    <t>Card xx6220 | Value Date: 06/09/2026</t>
  </si>
  <si>
    <t>YQME FOOD ORDERING FRENCHS FORES</t>
  </si>
  <si>
    <t>08 Sep 2026 YQME FOOD ORDERING FRENCHS FORES AU AUS -$12.69 $26,085.04 | Card xx6220 | Value Date: 06/09/2026</t>
  </si>
  <si>
    <t>Card xx6220 | Value Date: 04/09/2026</t>
  </si>
  <si>
    <t>08 Sep 2026 TRANSPORTFORNSW OPAL CHIPPENDALE AUS -$60.00 $26,025.04 | Card xx6220 | Value Date: 04/09/2026</t>
  </si>
  <si>
    <t>Card xx2810 | Value Date: 06/09/2026</t>
  </si>
  <si>
    <t>08 Sep 2026 LSP*Corretto Dee Why Dee Why AU AUS -$5.64 $26,019.40 | Card xx2810 | Value Date: 06/09/2026</t>
  </si>
  <si>
    <t>SQ *COLLAROY BAKEHOUSE Collaroy NS AUS</t>
  </si>
  <si>
    <t>COLLAROY BAKEHOUSE Collaroy</t>
  </si>
  <si>
    <t>08 Sep 2026 SQ *COLLAROY BAKEHOUSE Collaroy NS AUS -$6.88 $26,012.52 | Card xx2810 | Value Date: 06/09/2026</t>
  </si>
  <si>
    <t>08 Sep 2026 COLES 0784 DEE WHY NS AUS -$31.09 $25,981.43 | Card xx2810 | Value Date: 06/09/2026</t>
  </si>
  <si>
    <t>Card xx2810 | Value Date: 04/09/2026</t>
  </si>
  <si>
    <t>08 Sep 2026 TRANSPORTFORNSW OPAL CHIPPENDALE AUS -$60.00 $25,921.43 | Card xx2810 | Value Date: 04/09/2026</t>
  </si>
  <si>
    <t>Card xx2810 | Value Date: 05/09/2026</t>
  </si>
  <si>
    <t>08 Sep 2026 Bare Naked Bowls Dee Dee Why NS AUS -$5.26 $25,916.17 | Card xx2810 | Value Date: 05/09/2026</t>
  </si>
  <si>
    <t>08 Sep 2026 EUROPEAN TASTE DELI Roseville NS AUS -$71.56 $25,844.61 | Card xx2810 | Value Date: 05/09/2026</t>
  </si>
  <si>
    <t>08 Sep 2026 COLES 0784 DEE WHY NS AUS -$32.27 $25,812.34 | Card xx2810 | Value Date: 05/09/2026</t>
  </si>
  <si>
    <t>OpusPark Sydney NS AUS</t>
  </si>
  <si>
    <t>OpusPark</t>
  </si>
  <si>
    <t>contains:OPUSPARK</t>
  </si>
  <si>
    <t>08 Sep 2026 OpusPark Sydney NS AUS -$10.00 $25,802.34 | Card xx2810 | Value Date: 03/09/2026</t>
  </si>
  <si>
    <t>SQ *TWIST ESPRESSO &amp; W Dee Why NS AUS</t>
  </si>
  <si>
    <t>08 Sep 2026 SQ *TWIST ESPRESSO &amp; W Dee Why NS AUS -$15.20 $25,787.14 | Card xx2810 | Value Date: 04/09/2026</t>
  </si>
  <si>
    <t>Henry Gs Manly AU AUS</t>
  </si>
  <si>
    <t>Henry Gs Manly</t>
  </si>
  <si>
    <t>08 Sep 2026 Henry Gs Manly AU AUS -$69.55 $25,717.59 | Card xx2810 | Value Date: 04/09/2026</t>
  </si>
  <si>
    <t>SQ *BUTTERBOY MANLY Manly NS AUS</t>
  </si>
  <si>
    <t>BUTTERBOY MANLY Manly</t>
  </si>
  <si>
    <t>08 Sep 2026 SQ *BUTTERBOY MANLY Manly NS AUS -$17.20 $25,700.39 | Card xx2810 | Value Date: 04/09/2026</t>
  </si>
  <si>
    <t>08 Sep 2026 SQ *WINGMILL Dee Why NS AUS -$18.00 $25,682.39 | Card xx2810 | Value Date: 04/09/2026</t>
  </si>
  <si>
    <t>08 Sep 2026 SQ *WINGMILL Dee Why NS AUS -$35.00 $25,647.39 | Card xx2810 | Value Date: 04/09/2026</t>
  </si>
  <si>
    <t>Card xx0018 | Value Date: 06/09/2026</t>
  </si>
  <si>
    <t>08 Sep 2026 The Vicars Daughters Collaroy AU AUS -$8.13 $25,639.26 | Card xx0018 | Value Date: 06/09/2026</t>
  </si>
  <si>
    <t>08 Sep 2026 LSP*Upper Crust Pies Collaroy AU AUS -$12.78 $25,626.48 | Card xx0018 | Value Date: 06/09/2026</t>
  </si>
  <si>
    <t>Card xx0018 | Value Date: 05/09/2026</t>
  </si>
  <si>
    <t>08 Sep 2026 TFNSW OPAL FARE SYDNEY AUS -$6.28 $25,620.20 | Card xx0018 | Value Date: 05/09/2026</t>
  </si>
  <si>
    <t>WILLOUGHBY CITY COUNCI CHATSWOOD AUS</t>
  </si>
  <si>
    <t>WILLOUGHBY CITY COUNCI CHATSWOOD</t>
  </si>
  <si>
    <t>08 Sep 2026 WILLOUGHBY CITY COUNCI CHATSWOOD AUS -$5.50 $25,614.70 | Card xx0018 | Value Date: 05/09/2026</t>
  </si>
  <si>
    <t>SQ *AMBER CRUMB PTY LT Gladesville NS AUS</t>
  </si>
  <si>
    <t>AMBER CRUMB PTY LT Gladesville</t>
  </si>
  <si>
    <t>08 Sep 2026 SQ *AMBER CRUMB PTY LT Gladesville NS AUS -$9.14 $25,605.56 | Card xx0018 | Value Date: 05/09/2026</t>
  </si>
  <si>
    <t>SQ *ROLLING ICE Kingsgrove NS AUS</t>
  </si>
  <si>
    <t>ROLLING ICE Kingsgrove</t>
  </si>
  <si>
    <t>08 Sep 2026 SQ *ROLLING ICE Kingsgrove NS AUS -$8.13 $25,597.43 | Card xx0018 | Value Date: 05/09/2026</t>
  </si>
  <si>
    <t>SQ *TEA JOURNAL Chatswood NS AUS</t>
  </si>
  <si>
    <t>TEA JOURNAL Chatswood</t>
  </si>
  <si>
    <t>08 Sep 2026 SQ *TEA JOURNAL Chatswood NS AUS -$25.00 $25,572.43 | Card xx0018 | Value Date: 05/09/2026</t>
  </si>
  <si>
    <t>08 Sep 2026 SQ *TEA JOURNAL Chatswood NS AUS -$45.00 $25,527.43 | Card xx0018 | Value Date: 05/09/2026</t>
  </si>
  <si>
    <t>SQ *THE ABANGS Wickham NS AUS</t>
  </si>
  <si>
    <t>THE ABANGS Wickham</t>
  </si>
  <si>
    <t>08 Sep 2026 SQ *THE ABANGS Wickham NS AUS -$10.20 $25,517.23 | Card xx0018 | Value Date: 05/09/2026</t>
  </si>
  <si>
    <t>QSR PTY LTD Pyrmont AU AUS</t>
  </si>
  <si>
    <t>QSR PTY LTD Pyrmont</t>
  </si>
  <si>
    <t>08 Sep 2026 QSR PTY LTD Pyrmont AU AUS -$13.90 $25,503.33 | Card xx0018 | Value Date: 05/09/2026</t>
  </si>
  <si>
    <t>Card xx0018 | Value Date: 04/09/2026</t>
  </si>
  <si>
    <t>08 Sep 2026 TFNSW OPAL FARE SYDNEY AUS -$5.77 $25,497.56 | Card xx0018 | Value Date: 04/09/2026</t>
  </si>
  <si>
    <t>08 Sep 2026 EJ FAMILY TRUST SYDNEY NS AUS -$10.11 $25,487.45 | Card xx0018 | Value Date: 04/09/2026</t>
  </si>
  <si>
    <t>08 Sep 2026 SQ *ALL PURPOSE BAKERY Sydney NS AUS -$12.62 $25,474.83 | Card xx0018 | Value Date: 04/09/2026</t>
  </si>
  <si>
    <t>SQ *KAHII Sydney NS AUS</t>
  </si>
  <si>
    <t>Card xx0018 | Value Date: 04/09/2026 | questions or need more information, go to commbank.com.au/support. | Team.</t>
  </si>
  <si>
    <t>08 Sep 2026 SQ *KAHII Sydney NS AUS -$12.69 $25,462.14 | Card xx0018 | Value Date: 04/09/2026 | cleared. | If you have questions or need more information, go to commbank.com.au/support. | Kind regards, | The CommBank Team.</t>
  </si>
  <si>
    <t>Recurring Income</t>
  </si>
  <si>
    <t>Refunds / Other Income</t>
  </si>
  <si>
    <t>Essential Spend</t>
  </si>
  <si>
    <t>Discretionary Spend</t>
  </si>
  <si>
    <t>Irregular Spend</t>
  </si>
  <si>
    <t>Work/Admin Spend</t>
  </si>
  <si>
    <t>Unknown Spend</t>
  </si>
  <si>
    <t>Total Spend excl. Transfers</t>
  </si>
  <si>
    <t>Net Cash Flow</t>
  </si>
  <si>
    <t>Suggested Monthly Budget</t>
  </si>
  <si>
    <t>Recurring-income baseline</t>
  </si>
  <si>
    <t>Average</t>
  </si>
  <si>
    <t>Suggested Cap</t>
  </si>
  <si>
    <t>Cap vs Avg</t>
  </si>
  <si>
    <t>Comment</t>
  </si>
  <si>
    <t>Fortnightly $1,700 normalized to 26 payments / 12 months.</t>
  </si>
  <si>
    <t>Baseline allowance for supermarket / grocery spending.</t>
  </si>
  <si>
    <t>A controllable category; target is below the observed run-rate.</t>
  </si>
  <si>
    <t>Smooths irregular billing months.</t>
  </si>
  <si>
    <t>Allows for Opal/Uber/fuel/taxis.</t>
  </si>
  <si>
    <t>Approximately current recurring run-rate.</t>
  </si>
  <si>
    <t>Buffer for pharmacy/medical variability.</t>
  </si>
  <si>
    <t>Main discretionary reduction target.</t>
  </si>
  <si>
    <t>Use as a monthly cap / sinking fund.</t>
  </si>
  <si>
    <t>Sinking fund for irregular household purchases.</t>
  </si>
  <si>
    <t>Monthly leisure allowance.</t>
  </si>
  <si>
    <t>Recurring subscriptions/donations.</t>
  </si>
  <si>
    <t>Aim to minimize international/ATM fees.</t>
  </si>
  <si>
    <t>Small sinking fund for irregular admin charges.</t>
  </si>
  <si>
    <t>Sinking fund; travel months can be much higher.</t>
  </si>
  <si>
    <t>Prefer recategorizing cash once you know what it paid for.</t>
  </si>
  <si>
    <t>Buffer for merchants not yet confidently categorized.</t>
  </si>
  <si>
    <t>TOTAL MONTHLY SPEND</t>
  </si>
  <si>
    <t>Budget outcome</t>
  </si>
  <si>
    <t>Income baseline</t>
  </si>
  <si>
    <t>Suggested monthly spend</t>
  </si>
  <si>
    <t>Implied monthly savings</t>
  </si>
  <si>
    <t>Savings rate</t>
  </si>
  <si>
    <t>Transactions</t>
  </si>
  <si>
    <t>Total Spend</t>
  </si>
  <si>
    <t>Median</t>
  </si>
  <si>
    <t>First Seen</t>
  </si>
  <si>
    <t>Last Seen</t>
  </si>
  <si>
    <t>Current Category</t>
  </si>
  <si>
    <t>Examples</t>
  </si>
  <si>
    <t>Why review</t>
  </si>
  <si>
    <t>Suggested rule — confirm or edit</t>
  </si>
  <si>
    <t>No confirmed merchant rule; Budget character unknown</t>
  </si>
  <si>
    <t>contains:COSTCO AUBURN, contains:COSTCO WHOLESALE</t>
  </si>
  <si>
    <t>COSTCO WHOLESALE PTY LIDCOMBE AUS | COSTCO AUBURN LIDCOMBE NS AUS</t>
  </si>
  <si>
    <t>SQ *KAHII Sydney AU | SQ *KAHII Sydney NS AUS</t>
  </si>
  <si>
    <t>SQ *DY LOCAL Dee Why AU | SQ *DY LOCAL Dee Why NS AUS</t>
  </si>
  <si>
    <t>Enabled</t>
  </si>
  <si>
    <t>Priority</t>
  </si>
  <si>
    <t>Match Type</t>
  </si>
  <si>
    <t>Pattern</t>
  </si>
  <si>
    <t>Canonical Name</t>
  </si>
  <si>
    <t>Status</t>
  </si>
  <si>
    <t>Notes</t>
  </si>
  <si>
    <t>yes</t>
  </si>
  <si>
    <t>contains</t>
  </si>
  <si>
    <t>COSTCO GAS</t>
  </si>
  <si>
    <t>Fuel</t>
  </si>
  <si>
    <t>AIRBNB</t>
  </si>
  <si>
    <t>Accommodation</t>
  </si>
  <si>
    <t>Exam / professional admin</t>
  </si>
  <si>
    <t>THE UNI OF SYDNEY</t>
  </si>
  <si>
    <t>University expense</t>
  </si>
  <si>
    <t>Confirm personal vs professional/admin</t>
  </si>
  <si>
    <t>OZBARCODES</t>
  </si>
  <si>
    <t>Professional/business-like expense</t>
  </si>
  <si>
    <t>KWIK KOPY</t>
  </si>
  <si>
    <t>Printing; confirm personal vs professional</t>
  </si>
  <si>
    <t>TFNSW OPAL</t>
  </si>
  <si>
    <t>Opal fare</t>
  </si>
  <si>
    <t>TRANSPORTFORNSW</t>
  </si>
  <si>
    <t>Opal / tap fare</t>
  </si>
  <si>
    <t>LAVERTY PATHOLOGY</t>
  </si>
  <si>
    <t>Pathology</t>
  </si>
  <si>
    <t>Medical</t>
  </si>
  <si>
    <t>QUEEN AND BOURKE PHARM</t>
  </si>
  <si>
    <t>Pharmacy</t>
  </si>
  <si>
    <t>AIRPORTRENTALS</t>
  </si>
  <si>
    <t>Rental car / travel</t>
  </si>
  <si>
    <t>MANTRA 2 BOND</t>
  </si>
  <si>
    <t>SEALINK TASMANIA</t>
  </si>
  <si>
    <t>Travel / ferry</t>
  </si>
  <si>
    <t>AMZNPRIMEA</t>
  </si>
  <si>
    <t>13CABS</t>
  </si>
  <si>
    <t>TAXIPAY</t>
  </si>
  <si>
    <t>BP LAUDERDALE</t>
  </si>
  <si>
    <t>AUTO DYNAMICS</t>
  </si>
  <si>
    <t>Vehicle maintenance</t>
  </si>
  <si>
    <t>OPUSPARK</t>
  </si>
  <si>
    <t>Parking</t>
  </si>
  <si>
    <t>SYDNEY OLYMPIC PARK P5</t>
  </si>
  <si>
    <t>HUNGRYPANDA</t>
  </si>
  <si>
    <t>Food delivery</t>
  </si>
  <si>
    <t>UBER *EATS</t>
  </si>
  <si>
    <t>DOORDASH</t>
  </si>
  <si>
    <t>ALDI STORES</t>
  </si>
  <si>
    <t>REBEL</t>
  </si>
  <si>
    <t>Sporting goods</t>
  </si>
  <si>
    <t>Clothing</t>
  </si>
  <si>
    <t>THREDUP</t>
  </si>
  <si>
    <t>ON SPORTSWEAR</t>
  </si>
  <si>
    <t>Apparel / footwear</t>
  </si>
  <si>
    <t>ADIDAS</t>
  </si>
  <si>
    <t>DEPOP</t>
  </si>
  <si>
    <t>Clothing marketplace</t>
  </si>
  <si>
    <t>THE-ICONIC</t>
  </si>
  <si>
    <t>THE ICONIC</t>
  </si>
  <si>
    <t>TEMU</t>
  </si>
  <si>
    <t>PATAGONIA</t>
  </si>
  <si>
    <t>Apparel</t>
  </si>
  <si>
    <t>MILLIGRAM</t>
  </si>
  <si>
    <t>Stationery / shopping</t>
  </si>
  <si>
    <t>BEAUTYFASCIA</t>
  </si>
  <si>
    <t>Beauty</t>
  </si>
  <si>
    <t>AUSTRALIANSKINCLINICS</t>
  </si>
  <si>
    <t>Beauty / skin</t>
  </si>
  <si>
    <t>NSW NATIONAL PARKS</t>
  </si>
  <si>
    <t>Recreation</t>
  </si>
  <si>
    <t>SNSW*NSW PARKS</t>
  </si>
  <si>
    <t>KAHII</t>
  </si>
  <si>
    <t>Recurring ~$7 purchases; confirm merchant</t>
  </si>
  <si>
    <t>FLYING HAT</t>
  </si>
  <si>
    <t>Recurring small purchases; confirm merchant</t>
  </si>
  <si>
    <t>BARREL BELOW</t>
  </si>
  <si>
    <t>Recurring ~$4 purchases; confirm merchant</t>
  </si>
  <si>
    <t>COZY &amp; BREW</t>
  </si>
  <si>
    <t>Cafe / coffee</t>
  </si>
  <si>
    <t>THINK AGAIN LASER</t>
  </si>
  <si>
    <t>Confirm whether cosmetic or medical</t>
  </si>
  <si>
    <t>GOOGLE CLAUDE BY ANTH</t>
  </si>
  <si>
    <t>Likely Claude subscription; confirm</t>
  </si>
  <si>
    <t>BETTYS BURGERS</t>
  </si>
  <si>
    <t>Restaurant</t>
  </si>
  <si>
    <t>KRISPY KREME</t>
  </si>
  <si>
    <t>Food</t>
  </si>
  <si>
    <t>GIRDLERS</t>
  </si>
  <si>
    <t>Cafe</t>
  </si>
  <si>
    <t>BARE NAKED BOWLS</t>
  </si>
  <si>
    <t>STOCK MARKET KITCH</t>
  </si>
  <si>
    <t>CUTS AVENUE</t>
  </si>
  <si>
    <t>Likely hair / personal care</t>
  </si>
  <si>
    <t>DEE WHY LIBRARY</t>
  </si>
  <si>
    <t>Library fee / printing</t>
  </si>
  <si>
    <t>COSTCO WHOLESALE</t>
  </si>
  <si>
    <t>Costco can be mixed; review if needed</t>
  </si>
  <si>
    <t>COSTCO AUBURN</t>
  </si>
  <si>
    <t>Amount</t>
  </si>
  <si>
    <t>Balance</t>
  </si>
  <si>
    <t>Page</t>
  </si>
  <si>
    <t>Parsing, merchant rules &amp; budgeting assumptions</t>
  </si>
  <si>
    <t>Source</t>
  </si>
  <si>
    <t>TransactionSummary.pdf</t>
  </si>
  <si>
    <t>Parser</t>
  </si>
  <si>
    <t>PyMuPDF text + coordinate columns; no OCR / no network</t>
  </si>
  <si>
    <t>Statement period</t>
  </si>
  <si>
    <t>2026-06-01 to 2026-09-08</t>
  </si>
  <si>
    <t>Complete budget months</t>
  </si>
  <si>
    <t>2026-06, 2026-07, 2026-08</t>
  </si>
  <si>
    <t>Opening balance</t>
  </si>
  <si>
    <t>Closing balance</t>
  </si>
  <si>
    <t>Parser rows needing review</t>
  </si>
  <si>
    <t>Merchant rules file</t>
  </si>
  <si>
    <t>merchant_rules.csv</t>
  </si>
  <si>
    <t>Rules loaded</t>
  </si>
  <si>
    <t>Rule precedence</t>
  </si>
  <si>
    <t>Money-flow rules -&gt; highest-priority enabled merchant rule -&gt; generic fallback -&gt; Other</t>
  </si>
  <si>
    <t>Matching</t>
  </si>
  <si>
    <t>contains / exact / regex, case-insensitive</t>
  </si>
  <si>
    <t>Suggested rules</t>
  </si>
  <si>
    <t>Applied but kept on Merchant Review until changed to confirmed.</t>
  </si>
  <si>
    <t>Unmatched merchants</t>
  </si>
  <si>
    <t>Grouped once per merchant rather than repeated for every transaction.</t>
  </si>
  <si>
    <t>Budget character</t>
  </si>
  <si>
    <t>Separate from category: Essential / Discretionary / Irregular / Work/Admin / Unknown.</t>
  </si>
  <si>
    <t>Reason</t>
  </si>
  <si>
    <t>Prevents one-off travel/admin costs from looking like normal lifestyle burn.</t>
  </si>
  <si>
    <t>Reconciliation</t>
  </si>
  <si>
    <t>Every amount is checked against the running balance.</t>
  </si>
  <si>
    <t>Failure mode</t>
  </si>
  <si>
    <t>Workbook is not written if the statement does not reconcile.</t>
  </si>
  <si>
    <t>Budget</t>
  </si>
  <si>
    <t>Suggested category caps are still editable in BUDGET_CAPS in the script.</t>
  </si>
  <si>
    <t>Partial months</t>
  </si>
  <si>
    <t>Only complete calendar months are used when possible.</t>
  </si>
  <si>
    <t>Personal Budget Dashboard</t>
  </si>
  <si>
    <t>Period</t>
  </si>
  <si>
    <t>Merchants to review</t>
  </si>
  <si>
    <t>Recurring income baseline</t>
  </si>
  <si>
    <t>Average core spend</t>
  </si>
  <si>
    <t>Average irregular spend</t>
  </si>
  <si>
    <t>Average unknown spend</t>
  </si>
  <si>
    <t>Suggested monthly budget</t>
  </si>
  <si>
    <t>Implied savings at cap</t>
  </si>
</sst>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yyyy-mm-dd"/>
    <numFmt numFmtId="166" formatCode="0.0%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244A66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3" borderId="0" xfId="0" applyNumberFormat="1" applyFill="1"/>
    <xf numFmtId="165" fontId="0" fillId="0" borderId="0" xfId="0" applyNumberFormat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164" fontId="0" fillId="0" borderId="0" xfId="0" applyNumberFormat="1"/>
    <xf numFmtId="0" fontId="0" fillId="5" borderId="0" xfId="0" applyFill="1" applyAlignment="1">
      <alignment wrapText="1"/>
    </xf>
    <xf numFmtId="0" fontId="3" fillId="6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0" fontId="3" fillId="6" borderId="0" xfId="0" applyFont="1" applyFill="1"/>
    <xf numFmtId="166" fontId="0" fillId="0" borderId="0" xfId="0" applyNumberFormat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recurring income vs spending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Recurring Income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Summary'!$B$2:$B$5</c:f>
              <c:numCache>
                <c:formatCode>General</c:formatCode>
                <c:ptCount val="4"/>
                <c:pt idx="0">
                  <c:v>11573.710000000001</c:v>
                </c:pt>
                <c:pt idx="1">
                  <c:v>9455.02</c:v>
                </c:pt>
                <c:pt idx="2">
                  <c:v>10281.640000000001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Total Spending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Summary'!$J$2:$J$5</c:f>
              <c:numCache>
                <c:formatCode>General</c:formatCode>
                <c:ptCount val="4"/>
                <c:pt idx="0">
                  <c:v>11287.529999999999</c:v>
                </c:pt>
                <c:pt idx="1">
                  <c:v>13032.93</c:v>
                </c:pt>
                <c:pt idx="2">
                  <c:v>11921.609999999999</c:v>
                </c:pt>
                <c:pt idx="3">
                  <c:v>3868.79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spending by character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Essential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Summary'!$E$2:$E$5</c:f>
              <c:numCache>
                <c:formatCode>General</c:formatCode>
                <c:ptCount val="4"/>
                <c:pt idx="0">
                  <c:v>5587.98</c:v>
                </c:pt>
                <c:pt idx="1">
                  <c:v>7483.61</c:v>
                </c:pt>
                <c:pt idx="2">
                  <c:v>6319.2</c:v>
                </c:pt>
                <c:pt idx="3">
                  <c:v>1400.04</c:v>
                </c:pt>
              </c:numCache>
            </c:numRef>
          </c:val>
        </c:ser>
        <c:ser>
          <c:idx val="1"/>
          <c:order val="1"/>
          <c:tx>
            <c:v>Discretionary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Summary'!$F$2:$F$5</c:f>
              <c:numCache>
                <c:formatCode>General</c:formatCode>
                <c:ptCount val="4"/>
                <c:pt idx="0">
                  <c:v>3082.2</c:v>
                </c:pt>
                <c:pt idx="1">
                  <c:v>2951.8</c:v>
                </c:pt>
                <c:pt idx="2">
                  <c:v>2795.99</c:v>
                </c:pt>
                <c:pt idx="3">
                  <c:v>698.81</c:v>
                </c:pt>
              </c:numCache>
            </c:numRef>
          </c:val>
        </c:ser>
        <c:ser>
          <c:idx val="2"/>
          <c:order val="2"/>
          <c:tx>
            <c:v>Irregular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Summary'!$G$2:$G$5</c:f>
              <c:numCache>
                <c:formatCode>General</c:formatCode>
                <c:ptCount val="4"/>
                <c:pt idx="0">
                  <c:v>1895.93</c:v>
                </c:pt>
                <c:pt idx="1">
                  <c:v>1054.9</c:v>
                </c:pt>
                <c:pt idx="2">
                  <c:v>526.0</c:v>
                </c:pt>
                <c:pt idx="3">
                  <c:v>762.0</c:v>
                </c:pt>
              </c:numCache>
            </c:numRef>
          </c:val>
        </c:ser>
        <c:ser>
          <c:idx val="3"/>
          <c:order val="3"/>
          <c:tx>
            <c:v>Work/Admin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Summary'!$H$2:$H$5</c:f>
              <c:numCache>
                <c:formatCode>General</c:formatCode>
                <c:ptCount val="4"/>
                <c:pt idx="0">
                  <c:v>150.45</c:v>
                </c:pt>
                <c:pt idx="1">
                  <c:v>424.88</c:v>
                </c:pt>
                <c:pt idx="2">
                  <c:v>869.32</c:v>
                </c:pt>
                <c:pt idx="3">
                  <c:v>490.0</c:v>
                </c:pt>
              </c:numCache>
            </c:numRef>
          </c:val>
        </c:ser>
        <c:ser>
          <c:idx val="4"/>
          <c:order val="4"/>
          <c:tx>
            <c:v>Unknown</c:v>
          </c:tx>
          <c:cat>
            <c:strRef>
              <c:f>'Monthly Summary'!$A$2:$A$5</c:f>
              <c:strCache>
                <c:ptCount val="4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</c:strCache>
            </c:strRef>
          </c:cat>
          <c:val>
            <c:numRef>
              <c:f>'Monthly Summary'!$I$2:$I$5</c:f>
              <c:numCache>
                <c:formatCode>General</c:formatCode>
                <c:ptCount val="4"/>
                <c:pt idx="0">
                  <c:v>570.97</c:v>
                </c:pt>
                <c:pt idx="1">
                  <c:v>1117.74</c:v>
                </c:pt>
                <c:pt idx="2">
                  <c:v>1411.1</c:v>
                </c:pt>
                <c:pt idx="3">
                  <c:v>517.9399999999999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spend vs suggested cap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Observed monthly average</c:v>
          </c:tx>
          <c:cat>
            <c:strRef>
              <c:f>Budget!$A$5:$A$21</c:f>
              <c:strCache>
                <c:ptCount val="17"/>
                <c:pt idx="0">
                  <c:v>Housing - Rent</c:v>
                </c:pt>
                <c:pt idx="1">
                  <c:v>Groceries</c:v>
                </c:pt>
                <c:pt idx="2">
                  <c:v>Dining &amp; Coffee</c:v>
                </c:pt>
                <c:pt idx="3">
                  <c:v>Utilities &amp; Phone</c:v>
                </c:pt>
                <c:pt idx="4">
                  <c:v>Transport</c:v>
                </c:pt>
                <c:pt idx="5">
                  <c:v>Fitness &amp; Memberships</c:v>
                </c:pt>
                <c:pt idx="6">
                  <c:v>Health &amp; Pharmacy</c:v>
                </c:pt>
                <c:pt idx="7">
                  <c:v>Shopping</c:v>
                </c:pt>
                <c:pt idx="8">
                  <c:v>Beauty &amp; Personal Care</c:v>
                </c:pt>
                <c:pt idx="9">
                  <c:v>Home &amp; Household</c:v>
                </c:pt>
                <c:pt idx="10">
                  <c:v>Entertainment &amp; Experiences</c:v>
                </c:pt>
                <c:pt idx="11">
                  <c:v>Subscriptions &amp; Donations</c:v>
                </c:pt>
                <c:pt idx="12">
                  <c:v>Bank Fees</c:v>
                </c:pt>
                <c:pt idx="13">
                  <c:v>Government &amp; Admin</c:v>
                </c:pt>
                <c:pt idx="14">
                  <c:v>Travel</c:v>
                </c:pt>
                <c:pt idx="15">
                  <c:v>Cash Withdrawal</c:v>
                </c:pt>
                <c:pt idx="16">
                  <c:v>Other</c:v>
                </c:pt>
              </c:strCache>
            </c:strRef>
          </c:cat>
          <c:val>
            <c:numRef>
              <c:f>Budget!$E$5:$E$21</c:f>
              <c:numCache>
                <c:formatCode>General</c:formatCode>
                <c:ptCount val="17"/>
                <c:pt idx="0">
                  <c:v>4013.3333333333335</c:v>
                </c:pt>
                <c:pt idx="1">
                  <c:v>783.09</c:v>
                </c:pt>
                <c:pt idx="2">
                  <c:v>1499.9366666666667</c:v>
                </c:pt>
                <c:pt idx="3">
                  <c:v>429.6133333333333</c:v>
                </c:pt>
                <c:pt idx="4">
                  <c:v>649.18</c:v>
                </c:pt>
                <c:pt idx="5">
                  <c:v>417.23333333333335</c:v>
                </c:pt>
                <c:pt idx="6">
                  <c:v>592.6533333333333</c:v>
                </c:pt>
                <c:pt idx="7">
                  <c:v>863.77</c:v>
                </c:pt>
                <c:pt idx="8">
                  <c:v>284.06333333333333</c:v>
                </c:pt>
                <c:pt idx="9">
                  <c:v>22.076666666666668</c:v>
                </c:pt>
                <c:pt idx="10">
                  <c:v>14.283333333333333</c:v>
                </c:pt>
                <c:pt idx="11">
                  <c:v>47.653333333333336</c:v>
                </c:pt>
                <c:pt idx="12">
                  <c:v>6.983333333333334</c:v>
                </c:pt>
                <c:pt idx="13">
                  <c:v>60.03333333333333</c:v>
                </c:pt>
                <c:pt idx="14">
                  <c:v>881.9666666666667</c:v>
                </c:pt>
                <c:pt idx="15">
                  <c:v>0.0</c:v>
                </c:pt>
                <c:pt idx="16">
                  <c:v>1033.27</c:v>
                </c:pt>
              </c:numCache>
            </c:numRef>
          </c:val>
        </c:ser>
        <c:ser>
          <c:idx val="1"/>
          <c:order val="1"/>
          <c:tx>
            <c:v>Suggested cap</c:v>
          </c:tx>
          <c:cat>
            <c:strRef>
              <c:f>Budget!$A$5:$A$21</c:f>
              <c:strCache>
                <c:ptCount val="17"/>
                <c:pt idx="0">
                  <c:v>Housing - Rent</c:v>
                </c:pt>
                <c:pt idx="1">
                  <c:v>Groceries</c:v>
                </c:pt>
                <c:pt idx="2">
                  <c:v>Dining &amp; Coffee</c:v>
                </c:pt>
                <c:pt idx="3">
                  <c:v>Utilities &amp; Phone</c:v>
                </c:pt>
                <c:pt idx="4">
                  <c:v>Transport</c:v>
                </c:pt>
                <c:pt idx="5">
                  <c:v>Fitness &amp; Memberships</c:v>
                </c:pt>
                <c:pt idx="6">
                  <c:v>Health &amp; Pharmacy</c:v>
                </c:pt>
                <c:pt idx="7">
                  <c:v>Shopping</c:v>
                </c:pt>
                <c:pt idx="8">
                  <c:v>Beauty &amp; Personal Care</c:v>
                </c:pt>
                <c:pt idx="9">
                  <c:v>Home &amp; Household</c:v>
                </c:pt>
                <c:pt idx="10">
                  <c:v>Entertainment &amp; Experiences</c:v>
                </c:pt>
                <c:pt idx="11">
                  <c:v>Subscriptions &amp; Donations</c:v>
                </c:pt>
                <c:pt idx="12">
                  <c:v>Bank Fees</c:v>
                </c:pt>
                <c:pt idx="13">
                  <c:v>Government &amp; Admin</c:v>
                </c:pt>
                <c:pt idx="14">
                  <c:v>Travel</c:v>
                </c:pt>
                <c:pt idx="15">
                  <c:v>Cash Withdrawal</c:v>
                </c:pt>
                <c:pt idx="16">
                  <c:v>Other</c:v>
                </c:pt>
              </c:strCache>
            </c:strRef>
          </c:cat>
          <c:val>
            <c:numRef>
              <c:f>Budget!$F$5:$F$21</c:f>
              <c:numCache>
                <c:formatCode>General</c:formatCode>
                <c:ptCount val="17"/>
                <c:pt idx="0">
                  <c:v>3683</c:v>
                </c:pt>
                <c:pt idx="1">
                  <c:v>550</c:v>
                </c:pt>
                <c:pt idx="2">
                  <c:v>650</c:v>
                </c:pt>
                <c:pt idx="3">
                  <c:v>350</c:v>
                </c:pt>
                <c:pt idx="4">
                  <c:v>450</c:v>
                </c:pt>
                <c:pt idx="5">
                  <c:v>354</c:v>
                </c:pt>
                <c:pt idx="6">
                  <c:v>400</c:v>
                </c:pt>
                <c:pt idx="7">
                  <c:v>600</c:v>
                </c:pt>
                <c:pt idx="8">
                  <c:v>150</c:v>
                </c:pt>
                <c:pt idx="9">
                  <c:v>250</c:v>
                </c:pt>
                <c:pt idx="10">
                  <c:v>100</c:v>
                </c:pt>
                <c:pt idx="11">
                  <c:v>15</c:v>
                </c:pt>
                <c:pt idx="12">
                  <c:v>20</c:v>
                </c:pt>
                <c:pt idx="13">
                  <c:v>50</c:v>
                </c:pt>
                <c:pt idx="14">
                  <c:v>400</c:v>
                </c:pt>
                <c:pt idx="15">
                  <c:v>0</c:v>
                </c:pt>
                <c:pt idx="16">
                  <c:v>250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1733550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18</xdr:col>
      <xdr:colOff>76200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733425</xdr:colOff>
      <xdr:row>51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Table" displayName="TransactionsTable" ref="A1:P788" totalsRowShown="0">
  <autoFilter ref="A1:P788"/>
  <tableColumns count="16">
    <tableColumn id="1" name="Date"/>
    <tableColumn id="2" name="Description"/>
    <tableColumn id="3" name="Details"/>
    <tableColumn id="4" name="Merchant"/>
    <tableColumn id="5" name="Category"/>
    <tableColumn id="6" name="Budget Character"/>
    <tableColumn id="7" name="Rule Status"/>
    <tableColumn id="8" name="Rule Match"/>
    <tableColumn id="9" name="Amount (AUD)"/>
    <tableColumn id="10" name="Debit (AUD)"/>
    <tableColumn id="11" name="Credit (AUD)"/>
    <tableColumn id="12" name="Statement Balance (AUD)"/>
    <tableColumn id="13" name="Month"/>
    <tableColumn id="14" name="Parse Status"/>
    <tableColumn id="15" name="Source Page"/>
    <tableColumn id="16" name="Raw PDF tex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erchantReviewTable" displayName="MerchantReviewTable" ref="A1:M135" totalsRowShown="0">
  <autoFilter ref="A1:M135"/>
  <tableColumns count="13">
    <tableColumn id="1" name="Merchant"/>
    <tableColumn id="2" name="Transactions"/>
    <tableColumn id="3" name="Total Spend"/>
    <tableColumn id="4" name="Median"/>
    <tableColumn id="5" name="Average"/>
    <tableColumn id="6" name="First Seen"/>
    <tableColumn id="7" name="Last Seen"/>
    <tableColumn id="8" name="Current Category"/>
    <tableColumn id="9" name="Budget Character"/>
    <tableColumn id="10" name="Rule Status"/>
    <tableColumn id="11" name="Rule Match"/>
    <tableColumn id="12" name="Examples"/>
    <tableColumn id="13" name="Why re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erchantRulesTable" displayName="MerchantRulesTable" ref="A1:I58" totalsRowShown="0">
  <autoFilter ref="A1:I58"/>
  <tableColumns count="9">
    <tableColumn id="1" name="Enabled"/>
    <tableColumn id="2" name="Priority"/>
    <tableColumn id="3" name="Match Type"/>
    <tableColumn id="4" name="Pattern"/>
    <tableColumn id="5" name="Canonical Name"/>
    <tableColumn id="6" name="Category"/>
    <tableColumn id="7" name="Budget Character"/>
    <tableColumn id="8" name="Status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30.7109375" customWidth="1"/>
    <col min="2" max="2" width="26.7109375" customWidth="1"/>
    <col min="4" max="4" width="28.7109375" customWidth="1"/>
    <col min="5" max="5" width="18.7109375" customWidth="1"/>
  </cols>
  <sheetData>
    <row r="1" spans="1:8">
      <c r="A1" s="1" t="s">
        <v>2060</v>
      </c>
      <c r="B1" s="1"/>
      <c r="C1" s="1"/>
      <c r="D1" s="1"/>
      <c r="E1" s="1"/>
      <c r="F1" s="1"/>
      <c r="G1" s="1"/>
      <c r="H1" s="1"/>
    </row>
    <row r="3" spans="1:8">
      <c r="A3" s="2" t="s">
        <v>2061</v>
      </c>
      <c r="B3" s="2" t="s">
        <v>2031</v>
      </c>
      <c r="D3" s="2" t="s">
        <v>2063</v>
      </c>
      <c r="E3" s="3">
        <v>10281.64</v>
      </c>
    </row>
    <row r="4" spans="1:8">
      <c r="A4" s="2" t="s">
        <v>1909</v>
      </c>
      <c r="B4" s="2">
        <v>787</v>
      </c>
      <c r="D4" s="2" t="s">
        <v>2064</v>
      </c>
      <c r="E4" s="3">
        <v>9406.926666666666</v>
      </c>
    </row>
    <row r="5" spans="1:8">
      <c r="A5" s="2" t="s">
        <v>2034</v>
      </c>
      <c r="B5" s="3">
        <v>20478.71</v>
      </c>
      <c r="D5" s="2" t="s">
        <v>2065</v>
      </c>
      <c r="E5" s="3">
        <v>1158.943333333333</v>
      </c>
    </row>
    <row r="6" spans="1:8">
      <c r="A6" s="2" t="s">
        <v>2035</v>
      </c>
      <c r="B6" s="3">
        <v>25462.14</v>
      </c>
      <c r="D6" s="2" t="s">
        <v>2066</v>
      </c>
      <c r="E6" s="3">
        <v>1033.27</v>
      </c>
    </row>
    <row r="7" spans="1:8">
      <c r="A7" s="2" t="s">
        <v>2062</v>
      </c>
      <c r="B7" s="2">
        <v>134</v>
      </c>
      <c r="D7" s="2" t="s">
        <v>2067</v>
      </c>
      <c r="E7" s="3">
        <v>8272</v>
      </c>
    </row>
    <row r="8" spans="1:8">
      <c r="D8" s="2" t="s">
        <v>2068</v>
      </c>
      <c r="E8" s="3">
        <v>2009.640000000001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34.7109375" customWidth="1"/>
    <col min="4" max="4" width="28.7109375" customWidth="1"/>
    <col min="5" max="8" width="24.7109375" customWidth="1"/>
    <col min="9" max="12" width="18.7109375" customWidth="1"/>
    <col min="13" max="13" width="11.7109375" customWidth="1"/>
    <col min="14" max="14" width="42.7109375" customWidth="1"/>
    <col min="15" max="15" width="11.7109375" customWidth="1"/>
    <col min="16" max="16" width="55.7109375" customWidth="1"/>
  </cols>
  <sheetData>
    <row r="1" spans="1:16">
      <c r="A1" t="s">
        <v>38</v>
      </c>
      <c r="B1" t="s">
        <v>39</v>
      </c>
      <c r="C1" t="s">
        <v>40</v>
      </c>
      <c r="D1" t="s">
        <v>41</v>
      </c>
      <c r="E1" t="s">
        <v>0</v>
      </c>
      <c r="F1" t="s">
        <v>24</v>
      </c>
      <c r="G1" t="s">
        <v>32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 spans="1:16">
      <c r="A2" s="4">
        <v>46174</v>
      </c>
      <c r="B2" t="s">
        <v>51</v>
      </c>
      <c r="C2" s="5"/>
      <c r="D2" t="s">
        <v>52</v>
      </c>
      <c r="E2" t="s">
        <v>3</v>
      </c>
      <c r="F2" t="s">
        <v>26</v>
      </c>
      <c r="G2" s="6" t="s">
        <v>34</v>
      </c>
      <c r="H2" s="5" t="s">
        <v>53</v>
      </c>
      <c r="I2" s="7">
        <v>-7.1</v>
      </c>
      <c r="J2" s="7">
        <v>7.1</v>
      </c>
      <c r="K2" s="7">
        <v>0</v>
      </c>
      <c r="L2" s="7">
        <v>20471.61</v>
      </c>
      <c r="M2" t="s">
        <v>54</v>
      </c>
      <c r="N2" t="s">
        <v>55</v>
      </c>
      <c r="O2">
        <v>1</v>
      </c>
      <c r="P2" s="5" t="s">
        <v>56</v>
      </c>
    </row>
    <row r="3" spans="1:16">
      <c r="A3" s="4">
        <v>46174</v>
      </c>
      <c r="B3" t="s">
        <v>57</v>
      </c>
      <c r="C3" s="5" t="s">
        <v>58</v>
      </c>
      <c r="D3" t="s">
        <v>57</v>
      </c>
      <c r="E3" t="s">
        <v>20</v>
      </c>
      <c r="F3" t="s">
        <v>31</v>
      </c>
      <c r="G3" t="s">
        <v>37</v>
      </c>
      <c r="H3" s="5"/>
      <c r="I3" s="7">
        <v>403.5</v>
      </c>
      <c r="J3" s="7">
        <v>0</v>
      </c>
      <c r="K3" s="7">
        <v>403.5</v>
      </c>
      <c r="L3" s="7">
        <v>20875.11</v>
      </c>
      <c r="M3" t="s">
        <v>54</v>
      </c>
      <c r="N3" t="s">
        <v>55</v>
      </c>
      <c r="O3">
        <v>1</v>
      </c>
      <c r="P3" s="5" t="s">
        <v>59</v>
      </c>
    </row>
    <row r="4" spans="1:16">
      <c r="A4" s="4">
        <v>46174</v>
      </c>
      <c r="B4" t="s">
        <v>60</v>
      </c>
      <c r="C4" s="5" t="s">
        <v>61</v>
      </c>
      <c r="D4" t="s">
        <v>60</v>
      </c>
      <c r="E4" t="s">
        <v>7</v>
      </c>
      <c r="F4" t="s">
        <v>25</v>
      </c>
      <c r="G4" t="s">
        <v>35</v>
      </c>
      <c r="H4" s="5" t="s">
        <v>62</v>
      </c>
      <c r="I4" s="7">
        <v>-139.08</v>
      </c>
      <c r="J4" s="7">
        <v>139.08</v>
      </c>
      <c r="K4" s="7">
        <v>0</v>
      </c>
      <c r="L4" s="7">
        <v>20736.03</v>
      </c>
      <c r="M4" t="s">
        <v>54</v>
      </c>
      <c r="N4" t="s">
        <v>55</v>
      </c>
      <c r="O4">
        <v>1</v>
      </c>
      <c r="P4" s="5" t="s">
        <v>63</v>
      </c>
    </row>
    <row r="5" spans="1:16">
      <c r="A5" s="4">
        <v>46175</v>
      </c>
      <c r="B5" t="s">
        <v>64</v>
      </c>
      <c r="C5" s="5" t="s">
        <v>65</v>
      </c>
      <c r="D5" t="s">
        <v>66</v>
      </c>
      <c r="E5" t="s">
        <v>8</v>
      </c>
      <c r="F5" t="s">
        <v>26</v>
      </c>
      <c r="G5" t="s">
        <v>33</v>
      </c>
      <c r="H5" s="5" t="s">
        <v>67</v>
      </c>
      <c r="I5" s="7">
        <v>-67.98999999999999</v>
      </c>
      <c r="J5" s="7">
        <v>67.98999999999999</v>
      </c>
      <c r="K5" s="7">
        <v>0</v>
      </c>
      <c r="L5" s="7">
        <v>20668.04</v>
      </c>
      <c r="M5" t="s">
        <v>54</v>
      </c>
      <c r="N5" t="s">
        <v>55</v>
      </c>
      <c r="O5">
        <v>1</v>
      </c>
      <c r="P5" s="5" t="s">
        <v>68</v>
      </c>
    </row>
    <row r="6" spans="1:16">
      <c r="A6" s="4">
        <v>46175</v>
      </c>
      <c r="B6" t="s">
        <v>69</v>
      </c>
      <c r="C6" s="5" t="s">
        <v>70</v>
      </c>
      <c r="D6" t="s">
        <v>71</v>
      </c>
      <c r="E6" t="s">
        <v>17</v>
      </c>
      <c r="F6" t="s">
        <v>29</v>
      </c>
      <c r="G6" s="8" t="s">
        <v>36</v>
      </c>
      <c r="H6" s="5"/>
      <c r="I6" s="7">
        <v>-22.36</v>
      </c>
      <c r="J6" s="7">
        <v>22.36</v>
      </c>
      <c r="K6" s="7">
        <v>0</v>
      </c>
      <c r="L6" s="7">
        <v>20645.68</v>
      </c>
      <c r="M6" t="s">
        <v>54</v>
      </c>
      <c r="N6" t="s">
        <v>55</v>
      </c>
      <c r="O6">
        <v>1</v>
      </c>
      <c r="P6" s="5" t="s">
        <v>72</v>
      </c>
    </row>
    <row r="7" spans="1:16">
      <c r="A7" s="4">
        <v>46175</v>
      </c>
      <c r="B7" t="s">
        <v>73</v>
      </c>
      <c r="C7" s="5" t="s">
        <v>70</v>
      </c>
      <c r="D7" t="s">
        <v>74</v>
      </c>
      <c r="E7" t="s">
        <v>3</v>
      </c>
      <c r="F7" t="s">
        <v>26</v>
      </c>
      <c r="G7" t="s">
        <v>35</v>
      </c>
      <c r="H7" s="5" t="s">
        <v>75</v>
      </c>
      <c r="I7" s="7">
        <v>-10.49</v>
      </c>
      <c r="J7" s="7">
        <v>10.49</v>
      </c>
      <c r="K7" s="7">
        <v>0</v>
      </c>
      <c r="L7" s="7">
        <v>20635.19</v>
      </c>
      <c r="M7" t="s">
        <v>54</v>
      </c>
      <c r="N7" t="s">
        <v>55</v>
      </c>
      <c r="O7">
        <v>1</v>
      </c>
      <c r="P7" s="5" t="s">
        <v>76</v>
      </c>
    </row>
    <row r="8" spans="1:16">
      <c r="A8" s="4">
        <v>46175</v>
      </c>
      <c r="B8" t="s">
        <v>77</v>
      </c>
      <c r="C8" s="5" t="s">
        <v>65</v>
      </c>
      <c r="D8" t="s">
        <v>78</v>
      </c>
      <c r="E8" t="s">
        <v>3</v>
      </c>
      <c r="F8" t="s">
        <v>26</v>
      </c>
      <c r="G8" t="s">
        <v>35</v>
      </c>
      <c r="H8" s="5" t="s">
        <v>79</v>
      </c>
      <c r="I8" s="7">
        <v>-51.25</v>
      </c>
      <c r="J8" s="7">
        <v>51.25</v>
      </c>
      <c r="K8" s="7">
        <v>0</v>
      </c>
      <c r="L8" s="7">
        <v>20583.94</v>
      </c>
      <c r="M8" t="s">
        <v>54</v>
      </c>
      <c r="N8" t="s">
        <v>55</v>
      </c>
      <c r="O8">
        <v>1</v>
      </c>
      <c r="P8" s="5" t="s">
        <v>80</v>
      </c>
    </row>
    <row r="9" spans="1:16">
      <c r="A9" s="4">
        <v>46175</v>
      </c>
      <c r="B9" t="s">
        <v>81</v>
      </c>
      <c r="C9" s="5" t="s">
        <v>82</v>
      </c>
      <c r="D9" t="s">
        <v>83</v>
      </c>
      <c r="E9" t="s">
        <v>2</v>
      </c>
      <c r="F9" t="s">
        <v>25</v>
      </c>
      <c r="G9" t="s">
        <v>35</v>
      </c>
      <c r="H9" s="5" t="s">
        <v>84</v>
      </c>
      <c r="I9" s="7">
        <v>-81.76000000000001</v>
      </c>
      <c r="J9" s="7">
        <v>81.76000000000001</v>
      </c>
      <c r="K9" s="7">
        <v>0</v>
      </c>
      <c r="L9" s="7">
        <v>20502.18</v>
      </c>
      <c r="M9" t="s">
        <v>54</v>
      </c>
      <c r="N9" t="s">
        <v>55</v>
      </c>
      <c r="O9">
        <v>1</v>
      </c>
      <c r="P9" s="5" t="s">
        <v>85</v>
      </c>
    </row>
    <row r="10" spans="1:16">
      <c r="A10" s="4">
        <v>46175</v>
      </c>
      <c r="B10" t="s">
        <v>86</v>
      </c>
      <c r="C10" s="5" t="s">
        <v>87</v>
      </c>
      <c r="D10" t="s">
        <v>88</v>
      </c>
      <c r="E10" t="s">
        <v>2</v>
      </c>
      <c r="F10" t="s">
        <v>25</v>
      </c>
      <c r="G10" t="s">
        <v>35</v>
      </c>
      <c r="H10" s="5" t="s">
        <v>89</v>
      </c>
      <c r="I10" s="7">
        <v>-53.43</v>
      </c>
      <c r="J10" s="7">
        <v>53.43</v>
      </c>
      <c r="K10" s="7">
        <v>0</v>
      </c>
      <c r="L10" s="7">
        <v>20448.75</v>
      </c>
      <c r="M10" t="s">
        <v>54</v>
      </c>
      <c r="N10" t="s">
        <v>55</v>
      </c>
      <c r="O10">
        <v>1</v>
      </c>
      <c r="P10" s="5" t="s">
        <v>90</v>
      </c>
    </row>
    <row r="11" spans="1:16">
      <c r="A11" s="4">
        <v>46175</v>
      </c>
      <c r="B11" t="s">
        <v>91</v>
      </c>
      <c r="C11" s="5" t="s">
        <v>87</v>
      </c>
      <c r="D11" t="s">
        <v>92</v>
      </c>
      <c r="E11" t="s">
        <v>3</v>
      </c>
      <c r="F11" t="s">
        <v>26</v>
      </c>
      <c r="G11" t="s">
        <v>35</v>
      </c>
      <c r="H11" s="5" t="s">
        <v>93</v>
      </c>
      <c r="I11" s="7">
        <v>-16.9</v>
      </c>
      <c r="J11" s="7">
        <v>16.9</v>
      </c>
      <c r="K11" s="7">
        <v>0</v>
      </c>
      <c r="L11" s="7">
        <v>20431.85</v>
      </c>
      <c r="M11" t="s">
        <v>54</v>
      </c>
      <c r="N11" t="s">
        <v>55</v>
      </c>
      <c r="O11">
        <v>1</v>
      </c>
      <c r="P11" s="5" t="s">
        <v>94</v>
      </c>
    </row>
    <row r="12" spans="1:16">
      <c r="A12" s="4">
        <v>46175</v>
      </c>
      <c r="B12" t="s">
        <v>95</v>
      </c>
      <c r="C12" s="5" t="s">
        <v>87</v>
      </c>
      <c r="D12" t="s">
        <v>96</v>
      </c>
      <c r="E12" t="s">
        <v>2</v>
      </c>
      <c r="F12" t="s">
        <v>25</v>
      </c>
      <c r="G12" t="s">
        <v>35</v>
      </c>
      <c r="H12" s="5" t="s">
        <v>84</v>
      </c>
      <c r="I12" s="7">
        <v>-34.3</v>
      </c>
      <c r="J12" s="7">
        <v>34.3</v>
      </c>
      <c r="K12" s="7">
        <v>0</v>
      </c>
      <c r="L12" s="7">
        <v>20397.55</v>
      </c>
      <c r="M12" t="s">
        <v>54</v>
      </c>
      <c r="N12" t="s">
        <v>55</v>
      </c>
      <c r="O12">
        <v>1</v>
      </c>
      <c r="P12" s="5" t="s">
        <v>97</v>
      </c>
    </row>
    <row r="13" spans="1:16">
      <c r="A13" s="4">
        <v>46175</v>
      </c>
      <c r="B13" t="s">
        <v>98</v>
      </c>
      <c r="C13" s="5" t="s">
        <v>99</v>
      </c>
      <c r="D13" t="s">
        <v>100</v>
      </c>
      <c r="E13" t="s">
        <v>5</v>
      </c>
      <c r="F13" t="s">
        <v>25</v>
      </c>
      <c r="G13" t="s">
        <v>33</v>
      </c>
      <c r="H13" s="5" t="s">
        <v>101</v>
      </c>
      <c r="I13" s="7">
        <v>-5.77</v>
      </c>
      <c r="J13" s="7">
        <v>5.77</v>
      </c>
      <c r="K13" s="7">
        <v>0</v>
      </c>
      <c r="L13" s="7">
        <v>20391.78</v>
      </c>
      <c r="M13" t="s">
        <v>54</v>
      </c>
      <c r="N13" t="s">
        <v>55</v>
      </c>
      <c r="O13">
        <v>2</v>
      </c>
      <c r="P13" s="5" t="s">
        <v>102</v>
      </c>
    </row>
    <row r="14" spans="1:16">
      <c r="A14" s="4">
        <v>46175</v>
      </c>
      <c r="B14" t="s">
        <v>51</v>
      </c>
      <c r="C14" s="5"/>
      <c r="D14" t="s">
        <v>52</v>
      </c>
      <c r="E14" t="s">
        <v>3</v>
      </c>
      <c r="F14" t="s">
        <v>26</v>
      </c>
      <c r="G14" s="6" t="s">
        <v>34</v>
      </c>
      <c r="H14" s="5" t="s">
        <v>53</v>
      </c>
      <c r="I14" s="7">
        <v>-7.1</v>
      </c>
      <c r="J14" s="7">
        <v>7.1</v>
      </c>
      <c r="K14" s="7">
        <v>0</v>
      </c>
      <c r="L14" s="7">
        <v>20384.68</v>
      </c>
      <c r="M14" t="s">
        <v>54</v>
      </c>
      <c r="N14" t="s">
        <v>55</v>
      </c>
      <c r="O14">
        <v>2</v>
      </c>
      <c r="P14" s="5" t="s">
        <v>103</v>
      </c>
    </row>
    <row r="15" spans="1:16">
      <c r="A15" s="4">
        <v>46176</v>
      </c>
      <c r="B15" t="s">
        <v>104</v>
      </c>
      <c r="C15" s="5" t="s">
        <v>105</v>
      </c>
      <c r="D15" t="s">
        <v>106</v>
      </c>
      <c r="E15" t="s">
        <v>12</v>
      </c>
      <c r="F15" t="s">
        <v>26</v>
      </c>
      <c r="G15" t="s">
        <v>33</v>
      </c>
      <c r="H15" s="5" t="s">
        <v>107</v>
      </c>
      <c r="I15" s="7">
        <v>-79</v>
      </c>
      <c r="J15" s="7">
        <v>79</v>
      </c>
      <c r="K15" s="7">
        <v>0</v>
      </c>
      <c r="L15" s="7">
        <v>20305.68</v>
      </c>
      <c r="M15" t="s">
        <v>54</v>
      </c>
      <c r="N15" t="s">
        <v>55</v>
      </c>
      <c r="O15">
        <v>2</v>
      </c>
      <c r="P15" s="5" t="s">
        <v>108</v>
      </c>
    </row>
    <row r="16" spans="1:16">
      <c r="A16" s="4">
        <v>46176</v>
      </c>
      <c r="B16" t="s">
        <v>109</v>
      </c>
      <c r="C16" s="5" t="s">
        <v>110</v>
      </c>
      <c r="D16" t="s">
        <v>111</v>
      </c>
      <c r="E16" t="s">
        <v>3</v>
      </c>
      <c r="F16" t="s">
        <v>26</v>
      </c>
      <c r="G16" t="s">
        <v>35</v>
      </c>
      <c r="H16" s="5" t="s">
        <v>112</v>
      </c>
      <c r="I16" s="7">
        <v>-27.78</v>
      </c>
      <c r="J16" s="7">
        <v>27.78</v>
      </c>
      <c r="K16" s="7">
        <v>0</v>
      </c>
      <c r="L16" s="7">
        <v>20277.9</v>
      </c>
      <c r="M16" t="s">
        <v>54</v>
      </c>
      <c r="N16" t="s">
        <v>55</v>
      </c>
      <c r="O16">
        <v>2</v>
      </c>
      <c r="P16" s="5" t="s">
        <v>113</v>
      </c>
    </row>
    <row r="17" spans="1:16">
      <c r="A17" s="4">
        <v>46176</v>
      </c>
      <c r="B17" t="s">
        <v>98</v>
      </c>
      <c r="C17" s="5" t="s">
        <v>114</v>
      </c>
      <c r="D17" t="s">
        <v>100</v>
      </c>
      <c r="E17" t="s">
        <v>5</v>
      </c>
      <c r="F17" t="s">
        <v>25</v>
      </c>
      <c r="G17" t="s">
        <v>33</v>
      </c>
      <c r="H17" s="5" t="s">
        <v>101</v>
      </c>
      <c r="I17" s="7">
        <v>-2.31</v>
      </c>
      <c r="J17" s="7">
        <v>2.31</v>
      </c>
      <c r="K17" s="7">
        <v>0</v>
      </c>
      <c r="L17" s="7">
        <v>20275.59</v>
      </c>
      <c r="M17" t="s">
        <v>54</v>
      </c>
      <c r="N17" t="s">
        <v>55</v>
      </c>
      <c r="O17">
        <v>2</v>
      </c>
      <c r="P17" s="5" t="s">
        <v>115</v>
      </c>
    </row>
    <row r="18" spans="1:16">
      <c r="A18" s="4">
        <v>46176</v>
      </c>
      <c r="B18" t="s">
        <v>116</v>
      </c>
      <c r="C18" s="5" t="s">
        <v>87</v>
      </c>
      <c r="D18" t="s">
        <v>117</v>
      </c>
      <c r="E18" t="s">
        <v>3</v>
      </c>
      <c r="F18" t="s">
        <v>26</v>
      </c>
      <c r="G18" t="s">
        <v>35</v>
      </c>
      <c r="H18" s="5" t="s">
        <v>118</v>
      </c>
      <c r="I18" s="7">
        <v>-22.33</v>
      </c>
      <c r="J18" s="7">
        <v>22.33</v>
      </c>
      <c r="K18" s="7">
        <v>0</v>
      </c>
      <c r="L18" s="7">
        <v>20253.26</v>
      </c>
      <c r="M18" t="s">
        <v>54</v>
      </c>
      <c r="N18" t="s">
        <v>55</v>
      </c>
      <c r="O18">
        <v>2</v>
      </c>
      <c r="P18" s="5" t="s">
        <v>119</v>
      </c>
    </row>
    <row r="19" spans="1:16">
      <c r="A19" s="4">
        <v>46176</v>
      </c>
      <c r="B19" t="s">
        <v>120</v>
      </c>
      <c r="C19" s="5" t="s">
        <v>87</v>
      </c>
      <c r="D19" t="s">
        <v>121</v>
      </c>
      <c r="E19" t="s">
        <v>2</v>
      </c>
      <c r="F19" t="s">
        <v>25</v>
      </c>
      <c r="G19" t="s">
        <v>35</v>
      </c>
      <c r="H19" s="5" t="s">
        <v>122</v>
      </c>
      <c r="I19" s="7">
        <v>-5.4</v>
      </c>
      <c r="J19" s="7">
        <v>5.4</v>
      </c>
      <c r="K19" s="7">
        <v>0</v>
      </c>
      <c r="L19" s="7">
        <v>20247.86</v>
      </c>
      <c r="M19" t="s">
        <v>54</v>
      </c>
      <c r="N19" t="s">
        <v>55</v>
      </c>
      <c r="O19">
        <v>2</v>
      </c>
      <c r="P19" s="5" t="s">
        <v>123</v>
      </c>
    </row>
    <row r="20" spans="1:16">
      <c r="A20" s="4">
        <v>46176</v>
      </c>
      <c r="B20" t="s">
        <v>124</v>
      </c>
      <c r="C20" s="5" t="s">
        <v>114</v>
      </c>
      <c r="D20" t="s">
        <v>125</v>
      </c>
      <c r="E20" t="s">
        <v>8</v>
      </c>
      <c r="F20" t="s">
        <v>26</v>
      </c>
      <c r="G20" t="s">
        <v>33</v>
      </c>
      <c r="H20" s="5" t="s">
        <v>126</v>
      </c>
      <c r="I20" s="7">
        <v>-123.99</v>
      </c>
      <c r="J20" s="7">
        <v>123.99</v>
      </c>
      <c r="K20" s="7">
        <v>0</v>
      </c>
      <c r="L20" s="7">
        <v>20123.87</v>
      </c>
      <c r="M20" t="s">
        <v>54</v>
      </c>
      <c r="N20" t="s">
        <v>55</v>
      </c>
      <c r="O20">
        <v>2</v>
      </c>
      <c r="P20" s="5" t="s">
        <v>127</v>
      </c>
    </row>
    <row r="21" spans="1:16">
      <c r="A21" s="4">
        <v>46176</v>
      </c>
      <c r="B21" t="s">
        <v>128</v>
      </c>
      <c r="C21" s="5"/>
      <c r="D21" t="s">
        <v>129</v>
      </c>
      <c r="E21" t="s">
        <v>3</v>
      </c>
      <c r="F21" t="s">
        <v>26</v>
      </c>
      <c r="G21" t="s">
        <v>35</v>
      </c>
      <c r="H21" s="5" t="s">
        <v>130</v>
      </c>
      <c r="I21" s="7">
        <v>-6.6</v>
      </c>
      <c r="J21" s="7">
        <v>6.6</v>
      </c>
      <c r="K21" s="7">
        <v>0</v>
      </c>
      <c r="L21" s="7">
        <v>20117.27</v>
      </c>
      <c r="M21" t="s">
        <v>54</v>
      </c>
      <c r="N21" t="s">
        <v>55</v>
      </c>
      <c r="O21">
        <v>2</v>
      </c>
      <c r="P21" s="5" t="s">
        <v>131</v>
      </c>
    </row>
    <row r="22" spans="1:16">
      <c r="A22" s="4">
        <v>46176</v>
      </c>
      <c r="B22" t="s">
        <v>51</v>
      </c>
      <c r="C22" s="5"/>
      <c r="D22" t="s">
        <v>52</v>
      </c>
      <c r="E22" t="s">
        <v>3</v>
      </c>
      <c r="F22" t="s">
        <v>26</v>
      </c>
      <c r="G22" s="6" t="s">
        <v>34</v>
      </c>
      <c r="H22" s="5" t="s">
        <v>53</v>
      </c>
      <c r="I22" s="7">
        <v>-7.1</v>
      </c>
      <c r="J22" s="7">
        <v>7.1</v>
      </c>
      <c r="K22" s="7">
        <v>0</v>
      </c>
      <c r="L22" s="7">
        <v>20110.17</v>
      </c>
      <c r="M22" t="s">
        <v>54</v>
      </c>
      <c r="N22" t="s">
        <v>55</v>
      </c>
      <c r="O22">
        <v>2</v>
      </c>
      <c r="P22" s="5" t="s">
        <v>132</v>
      </c>
    </row>
    <row r="23" spans="1:16">
      <c r="A23" s="4">
        <v>46176</v>
      </c>
      <c r="B23" t="s">
        <v>133</v>
      </c>
      <c r="C23" s="5"/>
      <c r="D23" t="s">
        <v>83</v>
      </c>
      <c r="E23" t="s">
        <v>2</v>
      </c>
      <c r="F23" t="s">
        <v>25</v>
      </c>
      <c r="G23" t="s">
        <v>35</v>
      </c>
      <c r="H23" s="5" t="s">
        <v>84</v>
      </c>
      <c r="I23" s="7">
        <v>-23.16</v>
      </c>
      <c r="J23" s="7">
        <v>23.16</v>
      </c>
      <c r="K23" s="7">
        <v>0</v>
      </c>
      <c r="L23" s="7">
        <v>20087.01</v>
      </c>
      <c r="M23" t="s">
        <v>54</v>
      </c>
      <c r="N23" t="s">
        <v>55</v>
      </c>
      <c r="O23">
        <v>2</v>
      </c>
      <c r="P23" s="5" t="s">
        <v>134</v>
      </c>
    </row>
    <row r="24" spans="1:16">
      <c r="A24" s="4">
        <v>46176</v>
      </c>
      <c r="B24" t="s">
        <v>135</v>
      </c>
      <c r="C24" s="5" t="s">
        <v>136</v>
      </c>
      <c r="D24" t="s">
        <v>135</v>
      </c>
      <c r="E24" t="s">
        <v>18</v>
      </c>
      <c r="F24" t="s">
        <v>30</v>
      </c>
      <c r="G24" t="s">
        <v>37</v>
      </c>
      <c r="H24" s="5"/>
      <c r="I24" s="7">
        <v>-1104</v>
      </c>
      <c r="J24" s="7">
        <v>1104</v>
      </c>
      <c r="K24" s="7">
        <v>0</v>
      </c>
      <c r="L24" s="7">
        <v>18983.01</v>
      </c>
      <c r="M24" t="s">
        <v>54</v>
      </c>
      <c r="N24" t="s">
        <v>55</v>
      </c>
      <c r="O24">
        <v>2</v>
      </c>
      <c r="P24" s="5" t="s">
        <v>137</v>
      </c>
    </row>
    <row r="25" spans="1:16">
      <c r="A25" s="4">
        <v>46176</v>
      </c>
      <c r="B25" t="s">
        <v>138</v>
      </c>
      <c r="C25" s="5" t="s">
        <v>139</v>
      </c>
      <c r="D25" t="s">
        <v>138</v>
      </c>
      <c r="E25" t="s">
        <v>6</v>
      </c>
      <c r="F25" t="s">
        <v>26</v>
      </c>
      <c r="G25" t="s">
        <v>35</v>
      </c>
      <c r="H25" s="5" t="s">
        <v>140</v>
      </c>
      <c r="I25" s="7">
        <v>-68</v>
      </c>
      <c r="J25" s="7">
        <v>68</v>
      </c>
      <c r="K25" s="7">
        <v>0</v>
      </c>
      <c r="L25" s="7">
        <v>18915.01</v>
      </c>
      <c r="M25" t="s">
        <v>54</v>
      </c>
      <c r="N25" t="s">
        <v>55</v>
      </c>
      <c r="O25">
        <v>2</v>
      </c>
      <c r="P25" s="5" t="s">
        <v>141</v>
      </c>
    </row>
    <row r="26" spans="1:16">
      <c r="A26" s="4">
        <v>46177</v>
      </c>
      <c r="B26" t="s">
        <v>142</v>
      </c>
      <c r="C26" s="5" t="s">
        <v>143</v>
      </c>
      <c r="D26" t="s">
        <v>144</v>
      </c>
      <c r="E26" t="s">
        <v>4</v>
      </c>
      <c r="F26" t="s">
        <v>25</v>
      </c>
      <c r="G26" t="s">
        <v>35</v>
      </c>
      <c r="H26" s="5" t="s">
        <v>145</v>
      </c>
      <c r="I26" s="7">
        <v>-380.28</v>
      </c>
      <c r="J26" s="7">
        <v>380.28</v>
      </c>
      <c r="K26" s="7">
        <v>0</v>
      </c>
      <c r="L26" s="7">
        <v>18534.73</v>
      </c>
      <c r="M26" t="s">
        <v>54</v>
      </c>
      <c r="N26" t="s">
        <v>55</v>
      </c>
      <c r="O26">
        <v>2</v>
      </c>
      <c r="P26" s="5" t="s">
        <v>146</v>
      </c>
    </row>
    <row r="27" spans="1:16">
      <c r="A27" s="4">
        <v>46177</v>
      </c>
      <c r="B27" t="s">
        <v>98</v>
      </c>
      <c r="C27" s="5" t="s">
        <v>147</v>
      </c>
      <c r="D27" t="s">
        <v>100</v>
      </c>
      <c r="E27" t="s">
        <v>5</v>
      </c>
      <c r="F27" t="s">
        <v>25</v>
      </c>
      <c r="G27" t="s">
        <v>33</v>
      </c>
      <c r="H27" s="5" t="s">
        <v>101</v>
      </c>
      <c r="I27" s="7">
        <v>-5.77</v>
      </c>
      <c r="J27" s="7">
        <v>5.77</v>
      </c>
      <c r="K27" s="7">
        <v>0</v>
      </c>
      <c r="L27" s="7">
        <v>18528.96</v>
      </c>
      <c r="M27" t="s">
        <v>54</v>
      </c>
      <c r="N27" t="s">
        <v>55</v>
      </c>
      <c r="O27">
        <v>2</v>
      </c>
      <c r="P27" s="5" t="s">
        <v>148</v>
      </c>
    </row>
    <row r="28" spans="1:16">
      <c r="A28" s="4">
        <v>46177</v>
      </c>
      <c r="B28" t="s">
        <v>149</v>
      </c>
      <c r="C28" s="5" t="s">
        <v>147</v>
      </c>
      <c r="D28" t="s">
        <v>150</v>
      </c>
      <c r="E28" t="s">
        <v>3</v>
      </c>
      <c r="F28" t="s">
        <v>26</v>
      </c>
      <c r="G28" s="6" t="s">
        <v>34</v>
      </c>
      <c r="H28" s="5" t="s">
        <v>151</v>
      </c>
      <c r="I28" s="7">
        <v>-6.07</v>
      </c>
      <c r="J28" s="7">
        <v>6.07</v>
      </c>
      <c r="K28" s="7">
        <v>0</v>
      </c>
      <c r="L28" s="7">
        <v>18522.89</v>
      </c>
      <c r="M28" t="s">
        <v>54</v>
      </c>
      <c r="N28" t="s">
        <v>55</v>
      </c>
      <c r="O28">
        <v>2</v>
      </c>
      <c r="P28" s="5" t="s">
        <v>152</v>
      </c>
    </row>
    <row r="29" spans="1:16">
      <c r="A29" s="4">
        <v>46177</v>
      </c>
      <c r="B29" t="s">
        <v>153</v>
      </c>
      <c r="C29" s="5" t="s">
        <v>114</v>
      </c>
      <c r="D29" t="s">
        <v>154</v>
      </c>
      <c r="E29" t="s">
        <v>17</v>
      </c>
      <c r="F29" t="s">
        <v>29</v>
      </c>
      <c r="G29" s="8" t="s">
        <v>36</v>
      </c>
      <c r="H29" s="5"/>
      <c r="I29" s="7">
        <v>-6.59</v>
      </c>
      <c r="J29" s="7">
        <v>6.59</v>
      </c>
      <c r="K29" s="7">
        <v>0</v>
      </c>
      <c r="L29" s="7">
        <v>18516.3</v>
      </c>
      <c r="M29" t="s">
        <v>54</v>
      </c>
      <c r="N29" t="s">
        <v>55</v>
      </c>
      <c r="O29">
        <v>2</v>
      </c>
      <c r="P29" s="5" t="s">
        <v>155</v>
      </c>
    </row>
    <row r="30" spans="1:16">
      <c r="A30" s="4">
        <v>46177</v>
      </c>
      <c r="B30" t="s">
        <v>156</v>
      </c>
      <c r="C30" s="5" t="s">
        <v>147</v>
      </c>
      <c r="D30" t="s">
        <v>157</v>
      </c>
      <c r="E30" t="s">
        <v>3</v>
      </c>
      <c r="F30" t="s">
        <v>26</v>
      </c>
      <c r="G30" t="s">
        <v>33</v>
      </c>
      <c r="H30" s="5" t="s">
        <v>158</v>
      </c>
      <c r="I30" s="7">
        <v>-14.03</v>
      </c>
      <c r="J30" s="7">
        <v>14.03</v>
      </c>
      <c r="K30" s="7">
        <v>0</v>
      </c>
      <c r="L30" s="7">
        <v>18502.27</v>
      </c>
      <c r="M30" t="s">
        <v>54</v>
      </c>
      <c r="N30" t="s">
        <v>55</v>
      </c>
      <c r="O30">
        <v>3</v>
      </c>
      <c r="P30" s="5" t="s">
        <v>159</v>
      </c>
    </row>
    <row r="31" spans="1:16">
      <c r="A31" s="4">
        <v>46177</v>
      </c>
      <c r="B31" t="s">
        <v>160</v>
      </c>
      <c r="C31" s="5"/>
      <c r="D31" t="s">
        <v>161</v>
      </c>
      <c r="E31" t="s">
        <v>1</v>
      </c>
      <c r="F31" t="s">
        <v>25</v>
      </c>
      <c r="G31" t="s">
        <v>35</v>
      </c>
      <c r="H31" s="5" t="s">
        <v>162</v>
      </c>
      <c r="I31" s="7">
        <v>-1720</v>
      </c>
      <c r="J31" s="7">
        <v>1720</v>
      </c>
      <c r="K31" s="7">
        <v>0</v>
      </c>
      <c r="L31" s="7">
        <v>16782.27</v>
      </c>
      <c r="M31" t="s">
        <v>54</v>
      </c>
      <c r="N31" t="s">
        <v>55</v>
      </c>
      <c r="O31">
        <v>3</v>
      </c>
      <c r="P31" s="5" t="s">
        <v>163</v>
      </c>
    </row>
    <row r="32" spans="1:16">
      <c r="A32" s="4">
        <v>46177</v>
      </c>
      <c r="B32" t="s">
        <v>164</v>
      </c>
      <c r="C32" s="5"/>
      <c r="D32" t="s">
        <v>165</v>
      </c>
      <c r="E32" t="s">
        <v>3</v>
      </c>
      <c r="F32" t="s">
        <v>26</v>
      </c>
      <c r="G32" t="s">
        <v>35</v>
      </c>
      <c r="H32" s="5" t="s">
        <v>166</v>
      </c>
      <c r="I32" s="7">
        <v>-5.58</v>
      </c>
      <c r="J32" s="7">
        <v>5.58</v>
      </c>
      <c r="K32" s="7">
        <v>0</v>
      </c>
      <c r="L32" s="7">
        <v>16776.69</v>
      </c>
      <c r="M32" t="s">
        <v>54</v>
      </c>
      <c r="N32" t="s">
        <v>55</v>
      </c>
      <c r="O32">
        <v>3</v>
      </c>
      <c r="P32" s="5" t="s">
        <v>167</v>
      </c>
    </row>
    <row r="33" spans="1:16">
      <c r="A33" s="4">
        <v>46177</v>
      </c>
      <c r="B33" t="s">
        <v>168</v>
      </c>
      <c r="C33" s="5"/>
      <c r="D33" t="s">
        <v>169</v>
      </c>
      <c r="E33" t="s">
        <v>17</v>
      </c>
      <c r="F33" t="s">
        <v>29</v>
      </c>
      <c r="G33" s="8" t="s">
        <v>36</v>
      </c>
      <c r="H33" s="5"/>
      <c r="I33" s="7">
        <v>-11.18</v>
      </c>
      <c r="J33" s="7">
        <v>11.18</v>
      </c>
      <c r="K33" s="7">
        <v>0</v>
      </c>
      <c r="L33" s="7">
        <v>16765.51</v>
      </c>
      <c r="M33" t="s">
        <v>54</v>
      </c>
      <c r="N33" t="s">
        <v>55</v>
      </c>
      <c r="O33">
        <v>3</v>
      </c>
      <c r="P33" s="5" t="s">
        <v>170</v>
      </c>
    </row>
    <row r="34" spans="1:16">
      <c r="A34" s="4">
        <v>46177</v>
      </c>
      <c r="B34" t="s">
        <v>171</v>
      </c>
      <c r="C34" s="5"/>
      <c r="D34" t="s">
        <v>172</v>
      </c>
      <c r="E34" t="s">
        <v>17</v>
      </c>
      <c r="F34" t="s">
        <v>29</v>
      </c>
      <c r="G34" s="8" t="s">
        <v>36</v>
      </c>
      <c r="H34" s="5"/>
      <c r="I34" s="7">
        <v>-7.09</v>
      </c>
      <c r="J34" s="7">
        <v>7.09</v>
      </c>
      <c r="K34" s="7">
        <v>0</v>
      </c>
      <c r="L34" s="7">
        <v>16758.42</v>
      </c>
      <c r="M34" t="s">
        <v>54</v>
      </c>
      <c r="N34" t="s">
        <v>55</v>
      </c>
      <c r="O34">
        <v>3</v>
      </c>
      <c r="P34" s="5" t="s">
        <v>173</v>
      </c>
    </row>
    <row r="35" spans="1:16">
      <c r="A35" s="4">
        <v>46178</v>
      </c>
      <c r="B35" t="s">
        <v>174</v>
      </c>
      <c r="C35" s="5" t="s">
        <v>105</v>
      </c>
      <c r="D35" t="s">
        <v>175</v>
      </c>
      <c r="E35" t="s">
        <v>8</v>
      </c>
      <c r="F35" t="s">
        <v>26</v>
      </c>
      <c r="G35" t="s">
        <v>35</v>
      </c>
      <c r="H35" s="5" t="s">
        <v>176</v>
      </c>
      <c r="I35" s="7">
        <v>-36.1</v>
      </c>
      <c r="J35" s="7">
        <v>36.1</v>
      </c>
      <c r="K35" s="7">
        <v>0</v>
      </c>
      <c r="L35" s="7">
        <v>16722.32</v>
      </c>
      <c r="M35" t="s">
        <v>54</v>
      </c>
      <c r="N35" t="s">
        <v>55</v>
      </c>
      <c r="O35">
        <v>3</v>
      </c>
      <c r="P35" s="5" t="s">
        <v>177</v>
      </c>
    </row>
    <row r="36" spans="1:16">
      <c r="A36" s="4">
        <v>46178</v>
      </c>
      <c r="B36" t="s">
        <v>178</v>
      </c>
      <c r="C36" s="5" t="s">
        <v>179</v>
      </c>
      <c r="D36" t="s">
        <v>180</v>
      </c>
      <c r="E36" t="s">
        <v>9</v>
      </c>
      <c r="F36" t="s">
        <v>26</v>
      </c>
      <c r="G36" t="s">
        <v>33</v>
      </c>
      <c r="H36" s="5" t="s">
        <v>181</v>
      </c>
      <c r="I36" s="7">
        <v>-68.56999999999999</v>
      </c>
      <c r="J36" s="7">
        <v>68.56999999999999</v>
      </c>
      <c r="K36" s="7">
        <v>0</v>
      </c>
      <c r="L36" s="7">
        <v>16653.75</v>
      </c>
      <c r="M36" t="s">
        <v>54</v>
      </c>
      <c r="N36" t="s">
        <v>55</v>
      </c>
      <c r="O36">
        <v>3</v>
      </c>
      <c r="P36" s="5" t="s">
        <v>182</v>
      </c>
    </row>
    <row r="37" spans="1:16">
      <c r="A37" s="4">
        <v>46178</v>
      </c>
      <c r="B37" t="s">
        <v>183</v>
      </c>
      <c r="C37" s="5" t="s">
        <v>184</v>
      </c>
      <c r="D37" t="s">
        <v>183</v>
      </c>
      <c r="E37" t="s">
        <v>13</v>
      </c>
      <c r="F37" t="s">
        <v>25</v>
      </c>
      <c r="G37" t="s">
        <v>35</v>
      </c>
      <c r="H37" s="5" t="s">
        <v>185</v>
      </c>
      <c r="I37" s="7">
        <v>-2.4</v>
      </c>
      <c r="J37" s="7">
        <v>2.4</v>
      </c>
      <c r="K37" s="7">
        <v>0</v>
      </c>
      <c r="L37" s="7">
        <v>16651.35</v>
      </c>
      <c r="M37" t="s">
        <v>54</v>
      </c>
      <c r="N37" t="s">
        <v>55</v>
      </c>
      <c r="O37">
        <v>3</v>
      </c>
      <c r="P37" s="5" t="s">
        <v>186</v>
      </c>
    </row>
    <row r="38" spans="1:16">
      <c r="A38" s="4">
        <v>46178</v>
      </c>
      <c r="B38" t="s">
        <v>187</v>
      </c>
      <c r="C38" s="5"/>
      <c r="D38" t="s">
        <v>188</v>
      </c>
      <c r="E38" t="s">
        <v>3</v>
      </c>
      <c r="F38" t="s">
        <v>26</v>
      </c>
      <c r="G38" t="s">
        <v>35</v>
      </c>
      <c r="H38" s="5" t="s">
        <v>189</v>
      </c>
      <c r="I38" s="7">
        <v>-5.1</v>
      </c>
      <c r="J38" s="7">
        <v>5.1</v>
      </c>
      <c r="K38" s="7">
        <v>0</v>
      </c>
      <c r="L38" s="7">
        <v>16646.25</v>
      </c>
      <c r="M38" t="s">
        <v>54</v>
      </c>
      <c r="N38" t="s">
        <v>55</v>
      </c>
      <c r="O38">
        <v>3</v>
      </c>
      <c r="P38" s="5" t="s">
        <v>190</v>
      </c>
    </row>
    <row r="39" spans="1:16">
      <c r="A39" s="4">
        <v>46178</v>
      </c>
      <c r="B39" t="s">
        <v>187</v>
      </c>
      <c r="C39" s="5"/>
      <c r="D39" t="s">
        <v>188</v>
      </c>
      <c r="E39" t="s">
        <v>3</v>
      </c>
      <c r="F39" t="s">
        <v>26</v>
      </c>
      <c r="G39" t="s">
        <v>35</v>
      </c>
      <c r="H39" s="5" t="s">
        <v>189</v>
      </c>
      <c r="I39" s="7">
        <v>-6.11</v>
      </c>
      <c r="J39" s="7">
        <v>6.11</v>
      </c>
      <c r="K39" s="7">
        <v>0</v>
      </c>
      <c r="L39" s="7">
        <v>16640.14</v>
      </c>
      <c r="M39" t="s">
        <v>54</v>
      </c>
      <c r="N39" t="s">
        <v>55</v>
      </c>
      <c r="O39">
        <v>3</v>
      </c>
      <c r="P39" s="5" t="s">
        <v>191</v>
      </c>
    </row>
    <row r="40" spans="1:16">
      <c r="A40" s="4">
        <v>46178</v>
      </c>
      <c r="B40" t="s">
        <v>192</v>
      </c>
      <c r="C40" s="5"/>
      <c r="D40" t="s">
        <v>193</v>
      </c>
      <c r="E40" t="s">
        <v>11</v>
      </c>
      <c r="F40" t="s">
        <v>27</v>
      </c>
      <c r="G40" t="s">
        <v>33</v>
      </c>
      <c r="H40" s="5" t="s">
        <v>194</v>
      </c>
      <c r="I40" s="7">
        <v>-34.85</v>
      </c>
      <c r="J40" s="7">
        <v>34.85</v>
      </c>
      <c r="K40" s="7">
        <v>0</v>
      </c>
      <c r="L40" s="7">
        <v>16605.29</v>
      </c>
      <c r="M40" t="s">
        <v>54</v>
      </c>
      <c r="N40" t="s">
        <v>55</v>
      </c>
      <c r="O40">
        <v>3</v>
      </c>
      <c r="P40" s="5" t="s">
        <v>195</v>
      </c>
    </row>
    <row r="41" spans="1:16">
      <c r="A41" s="4">
        <v>46178</v>
      </c>
      <c r="B41" t="s">
        <v>196</v>
      </c>
      <c r="C41" s="5"/>
      <c r="D41" t="s">
        <v>197</v>
      </c>
      <c r="E41" t="s">
        <v>8</v>
      </c>
      <c r="F41" t="s">
        <v>26</v>
      </c>
      <c r="G41" t="s">
        <v>35</v>
      </c>
      <c r="H41" s="5" t="s">
        <v>198</v>
      </c>
      <c r="I41" s="7">
        <v>-40.2</v>
      </c>
      <c r="J41" s="7">
        <v>40.2</v>
      </c>
      <c r="K41" s="7">
        <v>0</v>
      </c>
      <c r="L41" s="7">
        <v>16565.09</v>
      </c>
      <c r="M41" t="s">
        <v>54</v>
      </c>
      <c r="N41" t="s">
        <v>55</v>
      </c>
      <c r="O41">
        <v>3</v>
      </c>
      <c r="P41" s="5" t="s">
        <v>199</v>
      </c>
    </row>
    <row r="42" spans="1:16">
      <c r="A42" s="4">
        <v>46179</v>
      </c>
      <c r="B42" t="s">
        <v>200</v>
      </c>
      <c r="C42" s="5" t="s">
        <v>201</v>
      </c>
      <c r="D42" t="s">
        <v>202</v>
      </c>
      <c r="E42" t="s">
        <v>3</v>
      </c>
      <c r="F42" t="s">
        <v>26</v>
      </c>
      <c r="G42" t="s">
        <v>35</v>
      </c>
      <c r="H42" s="5" t="s">
        <v>203</v>
      </c>
      <c r="I42" s="7">
        <v>-45</v>
      </c>
      <c r="J42" s="7">
        <v>45</v>
      </c>
      <c r="K42" s="7">
        <v>0</v>
      </c>
      <c r="L42" s="7">
        <v>16520.09</v>
      </c>
      <c r="M42" t="s">
        <v>54</v>
      </c>
      <c r="N42" t="s">
        <v>55</v>
      </c>
      <c r="O42">
        <v>3</v>
      </c>
      <c r="P42" s="5" t="s">
        <v>204</v>
      </c>
    </row>
    <row r="43" spans="1:16">
      <c r="A43" s="4">
        <v>46179</v>
      </c>
      <c r="B43" t="s">
        <v>205</v>
      </c>
      <c r="C43" s="5"/>
      <c r="D43" t="s">
        <v>206</v>
      </c>
      <c r="E43" t="s">
        <v>3</v>
      </c>
      <c r="F43" t="s">
        <v>26</v>
      </c>
      <c r="G43" t="s">
        <v>35</v>
      </c>
      <c r="H43" s="5" t="s">
        <v>207</v>
      </c>
      <c r="I43" s="7">
        <v>-47.48</v>
      </c>
      <c r="J43" s="7">
        <v>47.48</v>
      </c>
      <c r="K43" s="7">
        <v>0</v>
      </c>
      <c r="L43" s="7">
        <v>16472.61</v>
      </c>
      <c r="M43" t="s">
        <v>54</v>
      </c>
      <c r="N43" t="s">
        <v>55</v>
      </c>
      <c r="O43">
        <v>3</v>
      </c>
      <c r="P43" s="5" t="s">
        <v>208</v>
      </c>
    </row>
    <row r="44" spans="1:16">
      <c r="A44" s="4">
        <v>46179</v>
      </c>
      <c r="B44" t="s">
        <v>209</v>
      </c>
      <c r="C44" s="5"/>
      <c r="D44" t="s">
        <v>210</v>
      </c>
      <c r="E44" t="s">
        <v>17</v>
      </c>
      <c r="F44" t="s">
        <v>29</v>
      </c>
      <c r="G44" s="8" t="s">
        <v>36</v>
      </c>
      <c r="H44" s="5"/>
      <c r="I44" s="7">
        <v>-6</v>
      </c>
      <c r="J44" s="7">
        <v>6</v>
      </c>
      <c r="K44" s="7">
        <v>0</v>
      </c>
      <c r="L44" s="7">
        <v>16466.61</v>
      </c>
      <c r="M44" t="s">
        <v>54</v>
      </c>
      <c r="N44" t="s">
        <v>55</v>
      </c>
      <c r="O44">
        <v>3</v>
      </c>
      <c r="P44" s="5" t="s">
        <v>211</v>
      </c>
    </row>
    <row r="45" spans="1:16">
      <c r="A45" s="4">
        <v>46179</v>
      </c>
      <c r="B45" t="s">
        <v>212</v>
      </c>
      <c r="C45" s="5"/>
      <c r="D45" t="s">
        <v>213</v>
      </c>
      <c r="E45" t="s">
        <v>3</v>
      </c>
      <c r="F45" t="s">
        <v>26</v>
      </c>
      <c r="G45" t="s">
        <v>35</v>
      </c>
      <c r="H45" s="5" t="s">
        <v>214</v>
      </c>
      <c r="I45" s="7">
        <v>-9.109999999999999</v>
      </c>
      <c r="J45" s="7">
        <v>9.109999999999999</v>
      </c>
      <c r="K45" s="7">
        <v>0</v>
      </c>
      <c r="L45" s="7">
        <v>16457.5</v>
      </c>
      <c r="M45" t="s">
        <v>54</v>
      </c>
      <c r="N45" t="s">
        <v>55</v>
      </c>
      <c r="O45">
        <v>3</v>
      </c>
      <c r="P45" s="5" t="s">
        <v>215</v>
      </c>
    </row>
    <row r="46" spans="1:16">
      <c r="A46" s="4">
        <v>46179</v>
      </c>
      <c r="B46" t="s">
        <v>216</v>
      </c>
      <c r="C46" s="5"/>
      <c r="D46" t="s">
        <v>217</v>
      </c>
      <c r="E46" t="s">
        <v>17</v>
      </c>
      <c r="F46" t="s">
        <v>29</v>
      </c>
      <c r="G46" s="8" t="s">
        <v>36</v>
      </c>
      <c r="H46" s="5"/>
      <c r="I46" s="7">
        <v>-8.050000000000001</v>
      </c>
      <c r="J46" s="7">
        <v>8.050000000000001</v>
      </c>
      <c r="K46" s="7">
        <v>0</v>
      </c>
      <c r="L46" s="7">
        <v>16449.45</v>
      </c>
      <c r="M46" t="s">
        <v>54</v>
      </c>
      <c r="N46" t="s">
        <v>55</v>
      </c>
      <c r="O46">
        <v>3</v>
      </c>
      <c r="P46" s="5" t="s">
        <v>218</v>
      </c>
    </row>
    <row r="47" spans="1:16">
      <c r="A47" s="4">
        <v>46180</v>
      </c>
      <c r="B47" t="s">
        <v>219</v>
      </c>
      <c r="C47" s="5" t="s">
        <v>220</v>
      </c>
      <c r="D47" t="s">
        <v>219</v>
      </c>
      <c r="E47" t="s">
        <v>18</v>
      </c>
      <c r="F47" t="s">
        <v>30</v>
      </c>
      <c r="G47" t="s">
        <v>37</v>
      </c>
      <c r="H47" s="5"/>
      <c r="I47" s="7">
        <v>-10</v>
      </c>
      <c r="J47" s="7">
        <v>10</v>
      </c>
      <c r="K47" s="7">
        <v>0</v>
      </c>
      <c r="L47" s="7">
        <v>16439.45</v>
      </c>
      <c r="M47" t="s">
        <v>54</v>
      </c>
      <c r="N47" t="s">
        <v>55</v>
      </c>
      <c r="O47">
        <v>3</v>
      </c>
      <c r="P47" s="5" t="s">
        <v>221</v>
      </c>
    </row>
    <row r="48" spans="1:16">
      <c r="A48" s="4">
        <v>46180</v>
      </c>
      <c r="B48" t="s">
        <v>222</v>
      </c>
      <c r="C48" s="5"/>
      <c r="D48" t="s">
        <v>223</v>
      </c>
      <c r="E48" t="s">
        <v>17</v>
      </c>
      <c r="F48" t="s">
        <v>29</v>
      </c>
      <c r="G48" s="8" t="s">
        <v>36</v>
      </c>
      <c r="H48" s="5"/>
      <c r="I48" s="7">
        <v>-33.53</v>
      </c>
      <c r="J48" s="7">
        <v>33.53</v>
      </c>
      <c r="K48" s="7">
        <v>0</v>
      </c>
      <c r="L48" s="7">
        <v>16405.92</v>
      </c>
      <c r="M48" t="s">
        <v>54</v>
      </c>
      <c r="N48" t="s">
        <v>55</v>
      </c>
      <c r="O48">
        <v>3</v>
      </c>
      <c r="P48" s="5" t="s">
        <v>224</v>
      </c>
    </row>
    <row r="49" spans="1:16">
      <c r="A49" s="4">
        <v>46180</v>
      </c>
      <c r="B49" t="s">
        <v>133</v>
      </c>
      <c r="C49" s="5"/>
      <c r="D49" t="s">
        <v>83</v>
      </c>
      <c r="E49" t="s">
        <v>2</v>
      </c>
      <c r="F49" t="s">
        <v>25</v>
      </c>
      <c r="G49" t="s">
        <v>35</v>
      </c>
      <c r="H49" s="5" t="s">
        <v>84</v>
      </c>
      <c r="I49" s="7">
        <v>-12.5</v>
      </c>
      <c r="J49" s="7">
        <v>12.5</v>
      </c>
      <c r="K49" s="7">
        <v>0</v>
      </c>
      <c r="L49" s="7">
        <v>16393.42</v>
      </c>
      <c r="M49" t="s">
        <v>54</v>
      </c>
      <c r="N49" t="s">
        <v>55</v>
      </c>
      <c r="O49">
        <v>3</v>
      </c>
      <c r="P49" s="5" t="s">
        <v>225</v>
      </c>
    </row>
    <row r="50" spans="1:16">
      <c r="A50" s="4">
        <v>46180</v>
      </c>
      <c r="B50" t="s">
        <v>226</v>
      </c>
      <c r="C50" s="5"/>
      <c r="D50" t="s">
        <v>202</v>
      </c>
      <c r="E50" t="s">
        <v>3</v>
      </c>
      <c r="F50" t="s">
        <v>26</v>
      </c>
      <c r="G50" t="s">
        <v>35</v>
      </c>
      <c r="H50" s="5" t="s">
        <v>203</v>
      </c>
      <c r="I50" s="7">
        <v>-61.05</v>
      </c>
      <c r="J50" s="7">
        <v>61.05</v>
      </c>
      <c r="K50" s="7">
        <v>0</v>
      </c>
      <c r="L50" s="7">
        <v>16332.37</v>
      </c>
      <c r="M50" t="s">
        <v>54</v>
      </c>
      <c r="N50" t="s">
        <v>55</v>
      </c>
      <c r="O50">
        <v>3</v>
      </c>
      <c r="P50" s="5" t="s">
        <v>227</v>
      </c>
    </row>
    <row r="51" spans="1:16">
      <c r="A51" s="4">
        <v>46180</v>
      </c>
      <c r="B51" t="s">
        <v>226</v>
      </c>
      <c r="C51" s="5"/>
      <c r="D51" t="s">
        <v>202</v>
      </c>
      <c r="E51" t="s">
        <v>3</v>
      </c>
      <c r="F51" t="s">
        <v>26</v>
      </c>
      <c r="G51" t="s">
        <v>35</v>
      </c>
      <c r="H51" s="5" t="s">
        <v>203</v>
      </c>
      <c r="I51" s="7">
        <v>-31.9</v>
      </c>
      <c r="J51" s="7">
        <v>31.9</v>
      </c>
      <c r="K51" s="7">
        <v>0</v>
      </c>
      <c r="L51" s="7">
        <v>16300.47</v>
      </c>
      <c r="M51" t="s">
        <v>54</v>
      </c>
      <c r="N51" t="s">
        <v>55</v>
      </c>
      <c r="O51">
        <v>3</v>
      </c>
      <c r="P51" s="5" t="s">
        <v>228</v>
      </c>
    </row>
    <row r="52" spans="1:16">
      <c r="A52" s="4">
        <v>46181</v>
      </c>
      <c r="B52" t="s">
        <v>229</v>
      </c>
      <c r="C52" s="5"/>
      <c r="D52" t="s">
        <v>230</v>
      </c>
      <c r="E52" t="s">
        <v>17</v>
      </c>
      <c r="F52" t="s">
        <v>29</v>
      </c>
      <c r="G52" s="8" t="s">
        <v>36</v>
      </c>
      <c r="H52" s="5"/>
      <c r="I52" s="7">
        <v>-22.35</v>
      </c>
      <c r="J52" s="7">
        <v>22.35</v>
      </c>
      <c r="K52" s="7">
        <v>0</v>
      </c>
      <c r="L52" s="7">
        <v>16278.12</v>
      </c>
      <c r="M52" t="s">
        <v>54</v>
      </c>
      <c r="N52" t="s">
        <v>55</v>
      </c>
      <c r="O52">
        <v>3</v>
      </c>
      <c r="P52" s="5" t="s">
        <v>231</v>
      </c>
    </row>
    <row r="53" spans="1:16">
      <c r="A53" s="4">
        <v>46181</v>
      </c>
      <c r="B53" t="s">
        <v>232</v>
      </c>
      <c r="C53" s="5"/>
      <c r="D53" t="s">
        <v>233</v>
      </c>
      <c r="E53" t="s">
        <v>17</v>
      </c>
      <c r="F53" t="s">
        <v>29</v>
      </c>
      <c r="G53" s="8" t="s">
        <v>36</v>
      </c>
      <c r="H53" s="5"/>
      <c r="I53" s="7">
        <v>-9.98</v>
      </c>
      <c r="J53" s="7">
        <v>9.98</v>
      </c>
      <c r="K53" s="7">
        <v>0</v>
      </c>
      <c r="L53" s="7">
        <v>16268.14</v>
      </c>
      <c r="M53" t="s">
        <v>54</v>
      </c>
      <c r="N53" t="s">
        <v>55</v>
      </c>
      <c r="O53">
        <v>3</v>
      </c>
      <c r="P53" s="5" t="s">
        <v>234</v>
      </c>
    </row>
    <row r="54" spans="1:16">
      <c r="A54" s="4">
        <v>46182</v>
      </c>
      <c r="B54" t="s">
        <v>235</v>
      </c>
      <c r="C54" s="5" t="s">
        <v>236</v>
      </c>
      <c r="D54" t="s">
        <v>100</v>
      </c>
      <c r="E54" t="s">
        <v>5</v>
      </c>
      <c r="F54" t="s">
        <v>25</v>
      </c>
      <c r="G54" t="s">
        <v>33</v>
      </c>
      <c r="H54" s="5" t="s">
        <v>101</v>
      </c>
      <c r="I54" s="7">
        <v>-60</v>
      </c>
      <c r="J54" s="7">
        <v>60</v>
      </c>
      <c r="K54" s="7">
        <v>0</v>
      </c>
      <c r="L54" s="7">
        <v>16208.14</v>
      </c>
      <c r="M54" t="s">
        <v>54</v>
      </c>
      <c r="N54" t="s">
        <v>55</v>
      </c>
      <c r="O54">
        <v>3</v>
      </c>
      <c r="P54" s="5" t="s">
        <v>237</v>
      </c>
    </row>
    <row r="55" spans="1:16">
      <c r="A55" s="4">
        <v>46182</v>
      </c>
      <c r="B55" t="s">
        <v>238</v>
      </c>
      <c r="C55" s="5" t="s">
        <v>239</v>
      </c>
      <c r="D55" t="s">
        <v>240</v>
      </c>
      <c r="E55" t="s">
        <v>3</v>
      </c>
      <c r="F55" t="s">
        <v>26</v>
      </c>
      <c r="G55" t="s">
        <v>35</v>
      </c>
      <c r="H55" s="5" t="s">
        <v>241</v>
      </c>
      <c r="I55" s="7">
        <v>-66.8</v>
      </c>
      <c r="J55" s="7">
        <v>66.8</v>
      </c>
      <c r="K55" s="7">
        <v>0</v>
      </c>
      <c r="L55" s="7">
        <v>16141.34</v>
      </c>
      <c r="M55" t="s">
        <v>54</v>
      </c>
      <c r="N55" t="s">
        <v>55</v>
      </c>
      <c r="O55">
        <v>4</v>
      </c>
      <c r="P55" s="5" t="s">
        <v>242</v>
      </c>
    </row>
    <row r="56" spans="1:16">
      <c r="A56" s="4">
        <v>46182</v>
      </c>
      <c r="B56" t="s">
        <v>98</v>
      </c>
      <c r="C56" s="5" t="s">
        <v>243</v>
      </c>
      <c r="D56" t="s">
        <v>100</v>
      </c>
      <c r="E56" t="s">
        <v>5</v>
      </c>
      <c r="F56" t="s">
        <v>25</v>
      </c>
      <c r="G56" t="s">
        <v>33</v>
      </c>
      <c r="H56" s="5" t="s">
        <v>101</v>
      </c>
      <c r="I56" s="7">
        <v>-4.03</v>
      </c>
      <c r="J56" s="7">
        <v>4.03</v>
      </c>
      <c r="K56" s="7">
        <v>0</v>
      </c>
      <c r="L56" s="7">
        <v>16137.31</v>
      </c>
      <c r="M56" t="s">
        <v>54</v>
      </c>
      <c r="N56" t="s">
        <v>55</v>
      </c>
      <c r="O56">
        <v>4</v>
      </c>
      <c r="P56" s="5" t="s">
        <v>244</v>
      </c>
    </row>
    <row r="57" spans="1:16">
      <c r="A57" s="4">
        <v>46182</v>
      </c>
      <c r="B57" t="s">
        <v>245</v>
      </c>
      <c r="C57" s="5" t="s">
        <v>243</v>
      </c>
      <c r="D57" t="s">
        <v>246</v>
      </c>
      <c r="E57" t="s">
        <v>17</v>
      </c>
      <c r="F57" t="s">
        <v>29</v>
      </c>
      <c r="G57" s="8" t="s">
        <v>36</v>
      </c>
      <c r="H57" s="5"/>
      <c r="I57" s="7">
        <v>-11.99</v>
      </c>
      <c r="J57" s="7">
        <v>11.99</v>
      </c>
      <c r="K57" s="7">
        <v>0</v>
      </c>
      <c r="L57" s="7">
        <v>16125.32</v>
      </c>
      <c r="M57" t="s">
        <v>54</v>
      </c>
      <c r="N57" t="s">
        <v>55</v>
      </c>
      <c r="O57">
        <v>4</v>
      </c>
      <c r="P57" s="5" t="s">
        <v>247</v>
      </c>
    </row>
    <row r="58" spans="1:16">
      <c r="A58" s="4">
        <v>46182</v>
      </c>
      <c r="B58" t="s">
        <v>248</v>
      </c>
      <c r="C58" s="5" t="s">
        <v>243</v>
      </c>
      <c r="D58" t="s">
        <v>249</v>
      </c>
      <c r="E58" t="s">
        <v>5</v>
      </c>
      <c r="F58" t="s">
        <v>25</v>
      </c>
      <c r="G58" t="s">
        <v>35</v>
      </c>
      <c r="H58" s="5" t="s">
        <v>250</v>
      </c>
      <c r="I58" s="7">
        <v>-5.5</v>
      </c>
      <c r="J58" s="7">
        <v>5.5</v>
      </c>
      <c r="K58" s="7">
        <v>0</v>
      </c>
      <c r="L58" s="7">
        <v>16119.82</v>
      </c>
      <c r="M58" t="s">
        <v>54</v>
      </c>
      <c r="N58" t="s">
        <v>55</v>
      </c>
      <c r="O58">
        <v>4</v>
      </c>
      <c r="P58" s="5" t="s">
        <v>251</v>
      </c>
    </row>
    <row r="59" spans="1:16">
      <c r="A59" s="4">
        <v>46182</v>
      </c>
      <c r="B59" t="s">
        <v>252</v>
      </c>
      <c r="C59" s="5" t="s">
        <v>243</v>
      </c>
      <c r="D59" t="s">
        <v>253</v>
      </c>
      <c r="E59" t="s">
        <v>17</v>
      </c>
      <c r="F59" t="s">
        <v>29</v>
      </c>
      <c r="G59" s="8" t="s">
        <v>36</v>
      </c>
      <c r="H59" s="5"/>
      <c r="I59" s="7">
        <v>-19.5</v>
      </c>
      <c r="J59" s="7">
        <v>19.5</v>
      </c>
      <c r="K59" s="7">
        <v>0</v>
      </c>
      <c r="L59" s="7">
        <v>16100.32</v>
      </c>
      <c r="M59" t="s">
        <v>54</v>
      </c>
      <c r="N59" t="s">
        <v>55</v>
      </c>
      <c r="O59">
        <v>4</v>
      </c>
      <c r="P59" s="5" t="s">
        <v>254</v>
      </c>
    </row>
    <row r="60" spans="1:16">
      <c r="A60" s="4">
        <v>46182</v>
      </c>
      <c r="B60" t="s">
        <v>255</v>
      </c>
      <c r="C60" s="5" t="s">
        <v>243</v>
      </c>
      <c r="D60" t="s">
        <v>256</v>
      </c>
      <c r="E60" t="s">
        <v>17</v>
      </c>
      <c r="F60" t="s">
        <v>29</v>
      </c>
      <c r="G60" s="8" t="s">
        <v>36</v>
      </c>
      <c r="H60" s="5"/>
      <c r="I60" s="7">
        <v>-3</v>
      </c>
      <c r="J60" s="7">
        <v>3</v>
      </c>
      <c r="K60" s="7">
        <v>0</v>
      </c>
      <c r="L60" s="7">
        <v>16097.32</v>
      </c>
      <c r="M60" t="s">
        <v>54</v>
      </c>
      <c r="N60" t="s">
        <v>55</v>
      </c>
      <c r="O60">
        <v>4</v>
      </c>
      <c r="P60" s="5" t="s">
        <v>257</v>
      </c>
    </row>
    <row r="61" spans="1:16">
      <c r="A61" s="4">
        <v>46182</v>
      </c>
      <c r="B61" t="s">
        <v>258</v>
      </c>
      <c r="C61" s="5" t="s">
        <v>243</v>
      </c>
      <c r="D61" t="s">
        <v>259</v>
      </c>
      <c r="E61" t="s">
        <v>2</v>
      </c>
      <c r="F61" t="s">
        <v>25</v>
      </c>
      <c r="G61" t="s">
        <v>35</v>
      </c>
      <c r="H61" s="5" t="s">
        <v>260</v>
      </c>
      <c r="I61" s="7">
        <v>-49.54</v>
      </c>
      <c r="J61" s="7">
        <v>49.54</v>
      </c>
      <c r="K61" s="7">
        <v>0</v>
      </c>
      <c r="L61" s="7">
        <v>16047.78</v>
      </c>
      <c r="M61" t="s">
        <v>54</v>
      </c>
      <c r="N61" t="s">
        <v>55</v>
      </c>
      <c r="O61">
        <v>4</v>
      </c>
      <c r="P61" s="5" t="s">
        <v>261</v>
      </c>
    </row>
    <row r="62" spans="1:16">
      <c r="A62" s="4">
        <v>46182</v>
      </c>
      <c r="B62" t="s">
        <v>98</v>
      </c>
      <c r="C62" s="5" t="s">
        <v>262</v>
      </c>
      <c r="D62" t="s">
        <v>100</v>
      </c>
      <c r="E62" t="s">
        <v>5</v>
      </c>
      <c r="F62" t="s">
        <v>25</v>
      </c>
      <c r="G62" t="s">
        <v>33</v>
      </c>
      <c r="H62" s="5" t="s">
        <v>101</v>
      </c>
      <c r="I62" s="7">
        <v>-5.77</v>
      </c>
      <c r="J62" s="7">
        <v>5.77</v>
      </c>
      <c r="K62" s="7">
        <v>0</v>
      </c>
      <c r="L62" s="7">
        <v>16042.01</v>
      </c>
      <c r="M62" t="s">
        <v>54</v>
      </c>
      <c r="N62" t="s">
        <v>55</v>
      </c>
      <c r="O62">
        <v>4</v>
      </c>
      <c r="P62" s="5" t="s">
        <v>263</v>
      </c>
    </row>
    <row r="63" spans="1:16">
      <c r="A63" s="4">
        <v>46182</v>
      </c>
      <c r="B63" t="s">
        <v>264</v>
      </c>
      <c r="C63" s="5" t="s">
        <v>262</v>
      </c>
      <c r="D63" t="s">
        <v>265</v>
      </c>
      <c r="E63" t="s">
        <v>3</v>
      </c>
      <c r="F63" t="s">
        <v>26</v>
      </c>
      <c r="G63" t="s">
        <v>33</v>
      </c>
      <c r="H63" s="5" t="s">
        <v>266</v>
      </c>
      <c r="I63" s="7">
        <v>-12.5</v>
      </c>
      <c r="J63" s="7">
        <v>12.5</v>
      </c>
      <c r="K63" s="7">
        <v>0</v>
      </c>
      <c r="L63" s="7">
        <v>16029.51</v>
      </c>
      <c r="M63" t="s">
        <v>54</v>
      </c>
      <c r="N63" t="s">
        <v>55</v>
      </c>
      <c r="O63">
        <v>4</v>
      </c>
      <c r="P63" s="5" t="s">
        <v>267</v>
      </c>
    </row>
    <row r="64" spans="1:16">
      <c r="A64" s="4">
        <v>46182</v>
      </c>
      <c r="B64" t="s">
        <v>268</v>
      </c>
      <c r="C64" s="5" t="s">
        <v>262</v>
      </c>
      <c r="D64" t="s">
        <v>269</v>
      </c>
      <c r="E64" t="s">
        <v>17</v>
      </c>
      <c r="F64" t="s">
        <v>29</v>
      </c>
      <c r="G64" s="8" t="s">
        <v>36</v>
      </c>
      <c r="H64" s="5"/>
      <c r="I64" s="7">
        <v>-50.62</v>
      </c>
      <c r="J64" s="7">
        <v>50.62</v>
      </c>
      <c r="K64" s="7">
        <v>0</v>
      </c>
      <c r="L64" s="7">
        <v>15978.89</v>
      </c>
      <c r="M64" t="s">
        <v>54</v>
      </c>
      <c r="N64" t="s">
        <v>55</v>
      </c>
      <c r="O64">
        <v>4</v>
      </c>
      <c r="P64" s="5" t="s">
        <v>270</v>
      </c>
    </row>
    <row r="65" spans="1:16">
      <c r="A65" s="4">
        <v>46182</v>
      </c>
      <c r="B65" t="s">
        <v>51</v>
      </c>
      <c r="C65" s="5"/>
      <c r="D65" t="s">
        <v>52</v>
      </c>
      <c r="E65" t="s">
        <v>3</v>
      </c>
      <c r="F65" t="s">
        <v>26</v>
      </c>
      <c r="G65" s="6" t="s">
        <v>34</v>
      </c>
      <c r="H65" s="5" t="s">
        <v>53</v>
      </c>
      <c r="I65" s="7">
        <v>-7.1</v>
      </c>
      <c r="J65" s="7">
        <v>7.1</v>
      </c>
      <c r="K65" s="7">
        <v>0</v>
      </c>
      <c r="L65" s="7">
        <v>15971.79</v>
      </c>
      <c r="M65" t="s">
        <v>54</v>
      </c>
      <c r="N65" t="s">
        <v>55</v>
      </c>
      <c r="O65">
        <v>4</v>
      </c>
      <c r="P65" s="5" t="s">
        <v>271</v>
      </c>
    </row>
    <row r="66" spans="1:16">
      <c r="A66" s="4">
        <v>46182</v>
      </c>
      <c r="B66" t="s">
        <v>272</v>
      </c>
      <c r="C66" s="5"/>
      <c r="D66" t="s">
        <v>273</v>
      </c>
      <c r="E66" t="s">
        <v>3</v>
      </c>
      <c r="F66" t="s">
        <v>26</v>
      </c>
      <c r="G66" t="s">
        <v>35</v>
      </c>
      <c r="H66" s="5" t="s">
        <v>274</v>
      </c>
      <c r="I66" s="7">
        <v>-9.65</v>
      </c>
      <c r="J66" s="7">
        <v>9.65</v>
      </c>
      <c r="K66" s="7">
        <v>0</v>
      </c>
      <c r="L66" s="7">
        <v>15962.14</v>
      </c>
      <c r="M66" t="s">
        <v>54</v>
      </c>
      <c r="N66" t="s">
        <v>55</v>
      </c>
      <c r="O66">
        <v>4</v>
      </c>
      <c r="P66" s="5" t="s">
        <v>275</v>
      </c>
    </row>
    <row r="67" spans="1:16">
      <c r="A67" s="4">
        <v>46182</v>
      </c>
      <c r="B67" t="s">
        <v>276</v>
      </c>
      <c r="C67" s="5" t="s">
        <v>277</v>
      </c>
      <c r="D67" t="s">
        <v>278</v>
      </c>
      <c r="E67" t="s">
        <v>18</v>
      </c>
      <c r="F67" t="s">
        <v>30</v>
      </c>
      <c r="G67" t="s">
        <v>37</v>
      </c>
      <c r="H67" s="5"/>
      <c r="I67" s="7">
        <v>-200</v>
      </c>
      <c r="J67" s="7">
        <v>200</v>
      </c>
      <c r="K67" s="7">
        <v>0</v>
      </c>
      <c r="L67" s="7">
        <v>15762.14</v>
      </c>
      <c r="M67" t="s">
        <v>54</v>
      </c>
      <c r="N67" t="s">
        <v>55</v>
      </c>
      <c r="O67">
        <v>4</v>
      </c>
      <c r="P67" s="5" t="s">
        <v>279</v>
      </c>
    </row>
    <row r="68" spans="1:16">
      <c r="A68" s="4">
        <v>46183</v>
      </c>
      <c r="B68" t="s">
        <v>280</v>
      </c>
      <c r="C68" s="5" t="s">
        <v>281</v>
      </c>
      <c r="D68" t="s">
        <v>282</v>
      </c>
      <c r="E68" t="s">
        <v>8</v>
      </c>
      <c r="F68" t="s">
        <v>26</v>
      </c>
      <c r="G68" t="s">
        <v>35</v>
      </c>
      <c r="H68" s="5" t="s">
        <v>176</v>
      </c>
      <c r="I68" s="7">
        <v>-15.89</v>
      </c>
      <c r="J68" s="7">
        <v>15.89</v>
      </c>
      <c r="K68" s="7">
        <v>0</v>
      </c>
      <c r="L68" s="7">
        <v>15746.25</v>
      </c>
      <c r="M68" t="s">
        <v>54</v>
      </c>
      <c r="N68" t="s">
        <v>55</v>
      </c>
      <c r="O68">
        <v>4</v>
      </c>
      <c r="P68" s="5" t="s">
        <v>283</v>
      </c>
    </row>
    <row r="69" spans="1:16">
      <c r="A69" s="4">
        <v>46183</v>
      </c>
      <c r="B69" t="s">
        <v>81</v>
      </c>
      <c r="C69" s="5" t="s">
        <v>284</v>
      </c>
      <c r="D69" t="s">
        <v>83</v>
      </c>
      <c r="E69" t="s">
        <v>2</v>
      </c>
      <c r="F69" t="s">
        <v>25</v>
      </c>
      <c r="G69" t="s">
        <v>35</v>
      </c>
      <c r="H69" s="5" t="s">
        <v>84</v>
      </c>
      <c r="I69" s="7">
        <v>-80.31</v>
      </c>
      <c r="J69" s="7">
        <v>80.31</v>
      </c>
      <c r="K69" s="7">
        <v>0</v>
      </c>
      <c r="L69" s="7">
        <v>15665.94</v>
      </c>
      <c r="M69" t="s">
        <v>54</v>
      </c>
      <c r="N69" t="s">
        <v>55</v>
      </c>
      <c r="O69">
        <v>4</v>
      </c>
      <c r="P69" s="5" t="s">
        <v>285</v>
      </c>
    </row>
    <row r="70" spans="1:16">
      <c r="A70" s="4">
        <v>46183</v>
      </c>
      <c r="B70" t="s">
        <v>91</v>
      </c>
      <c r="C70" s="5" t="s">
        <v>286</v>
      </c>
      <c r="D70" t="s">
        <v>92</v>
      </c>
      <c r="E70" t="s">
        <v>3</v>
      </c>
      <c r="F70" t="s">
        <v>26</v>
      </c>
      <c r="G70" t="s">
        <v>35</v>
      </c>
      <c r="H70" s="5" t="s">
        <v>93</v>
      </c>
      <c r="I70" s="7">
        <v>-19.43</v>
      </c>
      <c r="J70" s="7">
        <v>19.43</v>
      </c>
      <c r="K70" s="7">
        <v>0</v>
      </c>
      <c r="L70" s="7">
        <v>15646.51</v>
      </c>
      <c r="M70" t="s">
        <v>54</v>
      </c>
      <c r="N70" t="s">
        <v>55</v>
      </c>
      <c r="O70">
        <v>4</v>
      </c>
      <c r="P70" s="5" t="s">
        <v>287</v>
      </c>
    </row>
    <row r="71" spans="1:16">
      <c r="A71" s="4">
        <v>46183</v>
      </c>
      <c r="B71" t="s">
        <v>288</v>
      </c>
      <c r="C71" s="5" t="s">
        <v>286</v>
      </c>
      <c r="D71" t="s">
        <v>289</v>
      </c>
      <c r="E71" t="s">
        <v>4</v>
      </c>
      <c r="F71" t="s">
        <v>25</v>
      </c>
      <c r="G71" t="s">
        <v>35</v>
      </c>
      <c r="H71" s="5" t="s">
        <v>290</v>
      </c>
      <c r="I71" s="7">
        <v>-71.98999999999999</v>
      </c>
      <c r="J71" s="7">
        <v>71.98999999999999</v>
      </c>
      <c r="K71" s="7">
        <v>0</v>
      </c>
      <c r="L71" s="7">
        <v>15574.52</v>
      </c>
      <c r="M71" t="s">
        <v>54</v>
      </c>
      <c r="N71" t="s">
        <v>55</v>
      </c>
      <c r="O71">
        <v>5</v>
      </c>
      <c r="P71" s="5" t="s">
        <v>291</v>
      </c>
    </row>
    <row r="72" spans="1:16">
      <c r="A72" s="4">
        <v>46183</v>
      </c>
      <c r="B72" t="s">
        <v>51</v>
      </c>
      <c r="C72" s="5"/>
      <c r="D72" t="s">
        <v>52</v>
      </c>
      <c r="E72" t="s">
        <v>3</v>
      </c>
      <c r="F72" t="s">
        <v>26</v>
      </c>
      <c r="G72" s="6" t="s">
        <v>34</v>
      </c>
      <c r="H72" s="5" t="s">
        <v>53</v>
      </c>
      <c r="I72" s="7">
        <v>-7.1</v>
      </c>
      <c r="J72" s="7">
        <v>7.1</v>
      </c>
      <c r="K72" s="7">
        <v>0</v>
      </c>
      <c r="L72" s="7">
        <v>15567.42</v>
      </c>
      <c r="M72" t="s">
        <v>54</v>
      </c>
      <c r="N72" t="s">
        <v>55</v>
      </c>
      <c r="O72">
        <v>5</v>
      </c>
      <c r="P72" s="5" t="s">
        <v>292</v>
      </c>
    </row>
    <row r="73" spans="1:16">
      <c r="A73" s="4">
        <v>46183</v>
      </c>
      <c r="B73" t="s">
        <v>293</v>
      </c>
      <c r="C73" s="5"/>
      <c r="D73" t="s">
        <v>294</v>
      </c>
      <c r="E73" t="s">
        <v>3</v>
      </c>
      <c r="F73" t="s">
        <v>26</v>
      </c>
      <c r="G73" t="s">
        <v>35</v>
      </c>
      <c r="H73" s="5" t="s">
        <v>295</v>
      </c>
      <c r="I73" s="7">
        <v>-15.24</v>
      </c>
      <c r="J73" s="7">
        <v>15.24</v>
      </c>
      <c r="K73" s="7">
        <v>0</v>
      </c>
      <c r="L73" s="7">
        <v>15552.18</v>
      </c>
      <c r="M73" t="s">
        <v>54</v>
      </c>
      <c r="N73" t="s">
        <v>55</v>
      </c>
      <c r="O73">
        <v>5</v>
      </c>
      <c r="P73" s="5" t="s">
        <v>296</v>
      </c>
    </row>
    <row r="74" spans="1:16">
      <c r="A74" s="4">
        <v>46183</v>
      </c>
      <c r="B74" t="s">
        <v>297</v>
      </c>
      <c r="C74" s="5"/>
      <c r="D74" t="s">
        <v>298</v>
      </c>
      <c r="E74" t="s">
        <v>3</v>
      </c>
      <c r="F74" t="s">
        <v>26</v>
      </c>
      <c r="G74" t="s">
        <v>35</v>
      </c>
      <c r="H74" s="5" t="s">
        <v>299</v>
      </c>
      <c r="I74" s="7">
        <v>-4.85</v>
      </c>
      <c r="J74" s="7">
        <v>4.85</v>
      </c>
      <c r="K74" s="7">
        <v>0</v>
      </c>
      <c r="L74" s="7">
        <v>15547.33</v>
      </c>
      <c r="M74" t="s">
        <v>54</v>
      </c>
      <c r="N74" t="s">
        <v>55</v>
      </c>
      <c r="O74">
        <v>5</v>
      </c>
      <c r="P74" s="5" t="s">
        <v>300</v>
      </c>
    </row>
    <row r="75" spans="1:16">
      <c r="A75" s="4">
        <v>46183</v>
      </c>
      <c r="B75" t="s">
        <v>138</v>
      </c>
      <c r="C75" s="5" t="s">
        <v>301</v>
      </c>
      <c r="D75" t="s">
        <v>138</v>
      </c>
      <c r="E75" t="s">
        <v>6</v>
      </c>
      <c r="F75" t="s">
        <v>26</v>
      </c>
      <c r="G75" t="s">
        <v>35</v>
      </c>
      <c r="H75" s="5" t="s">
        <v>140</v>
      </c>
      <c r="I75" s="7">
        <v>-68</v>
      </c>
      <c r="J75" s="7">
        <v>68</v>
      </c>
      <c r="K75" s="7">
        <v>0</v>
      </c>
      <c r="L75" s="7">
        <v>15479.33</v>
      </c>
      <c r="M75" t="s">
        <v>54</v>
      </c>
      <c r="N75" t="s">
        <v>55</v>
      </c>
      <c r="O75">
        <v>5</v>
      </c>
      <c r="P75" s="5" t="s">
        <v>302</v>
      </c>
    </row>
    <row r="76" spans="1:16">
      <c r="A76" s="4">
        <v>46184</v>
      </c>
      <c r="B76" t="s">
        <v>109</v>
      </c>
      <c r="C76" s="5" t="s">
        <v>303</v>
      </c>
      <c r="D76" t="s">
        <v>111</v>
      </c>
      <c r="E76" t="s">
        <v>3</v>
      </c>
      <c r="F76" t="s">
        <v>26</v>
      </c>
      <c r="G76" t="s">
        <v>35</v>
      </c>
      <c r="H76" s="5" t="s">
        <v>112</v>
      </c>
      <c r="I76" s="7">
        <v>-27.78</v>
      </c>
      <c r="J76" s="7">
        <v>27.78</v>
      </c>
      <c r="K76" s="7">
        <v>0</v>
      </c>
      <c r="L76" s="7">
        <v>15451.55</v>
      </c>
      <c r="M76" t="s">
        <v>54</v>
      </c>
      <c r="N76" t="s">
        <v>55</v>
      </c>
      <c r="O76">
        <v>5</v>
      </c>
      <c r="P76" s="5" t="s">
        <v>304</v>
      </c>
    </row>
    <row r="77" spans="1:16">
      <c r="A77" s="4">
        <v>46184</v>
      </c>
      <c r="B77" t="s">
        <v>156</v>
      </c>
      <c r="C77" s="5" t="s">
        <v>305</v>
      </c>
      <c r="D77" t="s">
        <v>157</v>
      </c>
      <c r="E77" t="s">
        <v>3</v>
      </c>
      <c r="F77" t="s">
        <v>26</v>
      </c>
      <c r="G77" t="s">
        <v>33</v>
      </c>
      <c r="H77" s="5" t="s">
        <v>158</v>
      </c>
      <c r="I77" s="7">
        <v>-16.39</v>
      </c>
      <c r="J77" s="7">
        <v>16.39</v>
      </c>
      <c r="K77" s="7">
        <v>0</v>
      </c>
      <c r="L77" s="7">
        <v>15435.16</v>
      </c>
      <c r="M77" t="s">
        <v>54</v>
      </c>
      <c r="N77" t="s">
        <v>55</v>
      </c>
      <c r="O77">
        <v>5</v>
      </c>
      <c r="P77" s="5" t="s">
        <v>306</v>
      </c>
    </row>
    <row r="78" spans="1:16">
      <c r="A78" s="4">
        <v>46184</v>
      </c>
      <c r="B78" t="s">
        <v>307</v>
      </c>
      <c r="C78" s="5"/>
      <c r="D78" t="s">
        <v>308</v>
      </c>
      <c r="E78" t="s">
        <v>3</v>
      </c>
      <c r="F78" t="s">
        <v>26</v>
      </c>
      <c r="G78" t="s">
        <v>35</v>
      </c>
      <c r="H78" s="5" t="s">
        <v>309</v>
      </c>
      <c r="I78" s="7">
        <v>-5</v>
      </c>
      <c r="J78" s="7">
        <v>5</v>
      </c>
      <c r="K78" s="7">
        <v>0</v>
      </c>
      <c r="L78" s="7">
        <v>15430.16</v>
      </c>
      <c r="M78" t="s">
        <v>54</v>
      </c>
      <c r="N78" t="s">
        <v>55</v>
      </c>
      <c r="O78">
        <v>5</v>
      </c>
      <c r="P78" s="5" t="s">
        <v>310</v>
      </c>
    </row>
    <row r="79" spans="1:16">
      <c r="A79" s="4">
        <v>46184</v>
      </c>
      <c r="B79" t="s">
        <v>311</v>
      </c>
      <c r="C79" s="5"/>
      <c r="D79" t="s">
        <v>312</v>
      </c>
      <c r="E79" t="s">
        <v>3</v>
      </c>
      <c r="F79" t="s">
        <v>26</v>
      </c>
      <c r="G79" t="s">
        <v>35</v>
      </c>
      <c r="H79" s="5" t="s">
        <v>75</v>
      </c>
      <c r="I79" s="7">
        <v>-4.5</v>
      </c>
      <c r="J79" s="7">
        <v>4.5</v>
      </c>
      <c r="K79" s="7">
        <v>0</v>
      </c>
      <c r="L79" s="7">
        <v>15425.66</v>
      </c>
      <c r="M79" t="s">
        <v>54</v>
      </c>
      <c r="N79" t="s">
        <v>55</v>
      </c>
      <c r="O79">
        <v>5</v>
      </c>
      <c r="P79" s="5" t="s">
        <v>313</v>
      </c>
    </row>
    <row r="80" spans="1:16">
      <c r="A80" s="4">
        <v>46184</v>
      </c>
      <c r="B80" t="s">
        <v>314</v>
      </c>
      <c r="C80" s="5"/>
      <c r="D80" t="s">
        <v>315</v>
      </c>
      <c r="E80" t="s">
        <v>3</v>
      </c>
      <c r="F80" t="s">
        <v>26</v>
      </c>
      <c r="G80" t="s">
        <v>35</v>
      </c>
      <c r="H80" s="5" t="s">
        <v>316</v>
      </c>
      <c r="I80" s="7">
        <v>-14.11</v>
      </c>
      <c r="J80" s="7">
        <v>14.11</v>
      </c>
      <c r="K80" s="7">
        <v>0</v>
      </c>
      <c r="L80" s="7">
        <v>15411.55</v>
      </c>
      <c r="M80" t="s">
        <v>54</v>
      </c>
      <c r="N80" t="s">
        <v>55</v>
      </c>
      <c r="O80">
        <v>5</v>
      </c>
      <c r="P80" s="5" t="s">
        <v>317</v>
      </c>
    </row>
    <row r="81" spans="1:16">
      <c r="A81" s="4">
        <v>46184</v>
      </c>
      <c r="B81" t="s">
        <v>318</v>
      </c>
      <c r="C81" s="5" t="s">
        <v>319</v>
      </c>
      <c r="D81" t="s">
        <v>320</v>
      </c>
      <c r="E81" t="s">
        <v>6</v>
      </c>
      <c r="F81" t="s">
        <v>26</v>
      </c>
      <c r="G81" t="s">
        <v>35</v>
      </c>
      <c r="H81" s="5" t="s">
        <v>321</v>
      </c>
      <c r="I81" s="7">
        <v>-22.9</v>
      </c>
      <c r="J81" s="7">
        <v>22.9</v>
      </c>
      <c r="K81" s="7">
        <v>0</v>
      </c>
      <c r="L81" s="7">
        <v>15388.65</v>
      </c>
      <c r="M81" t="s">
        <v>54</v>
      </c>
      <c r="N81" t="s">
        <v>55</v>
      </c>
      <c r="O81">
        <v>5</v>
      </c>
      <c r="P81" s="5" t="s">
        <v>322</v>
      </c>
    </row>
    <row r="82" spans="1:16">
      <c r="A82" s="4">
        <v>46184</v>
      </c>
      <c r="B82" t="s">
        <v>318</v>
      </c>
      <c r="C82" s="5" t="s">
        <v>323</v>
      </c>
      <c r="D82" t="s">
        <v>320</v>
      </c>
      <c r="E82" t="s">
        <v>6</v>
      </c>
      <c r="F82" t="s">
        <v>26</v>
      </c>
      <c r="G82" t="s">
        <v>35</v>
      </c>
      <c r="H82" s="5" t="s">
        <v>321</v>
      </c>
      <c r="I82" s="7">
        <v>-30.9</v>
      </c>
      <c r="J82" s="7">
        <v>30.9</v>
      </c>
      <c r="K82" s="7">
        <v>0</v>
      </c>
      <c r="L82" s="7">
        <v>15357.75</v>
      </c>
      <c r="M82" t="s">
        <v>54</v>
      </c>
      <c r="N82" t="s">
        <v>55</v>
      </c>
      <c r="O82">
        <v>5</v>
      </c>
      <c r="P82" s="5" t="s">
        <v>324</v>
      </c>
    </row>
    <row r="83" spans="1:16">
      <c r="A83" s="4">
        <v>46185</v>
      </c>
      <c r="B83" t="s">
        <v>81</v>
      </c>
      <c r="C83" s="5" t="s">
        <v>325</v>
      </c>
      <c r="D83" t="s">
        <v>83</v>
      </c>
      <c r="E83" t="s">
        <v>2</v>
      </c>
      <c r="F83" t="s">
        <v>25</v>
      </c>
      <c r="G83" t="s">
        <v>35</v>
      </c>
      <c r="H83" s="5" t="s">
        <v>84</v>
      </c>
      <c r="I83" s="7">
        <v>-26.68</v>
      </c>
      <c r="J83" s="7">
        <v>26.68</v>
      </c>
      <c r="K83" s="7">
        <v>0</v>
      </c>
      <c r="L83" s="7">
        <v>15331.07</v>
      </c>
      <c r="M83" t="s">
        <v>54</v>
      </c>
      <c r="N83" t="s">
        <v>55</v>
      </c>
      <c r="O83">
        <v>5</v>
      </c>
      <c r="P83" s="5" t="s">
        <v>326</v>
      </c>
    </row>
    <row r="84" spans="1:16">
      <c r="A84" s="4">
        <v>46185</v>
      </c>
      <c r="B84" t="s">
        <v>98</v>
      </c>
      <c r="C84" s="5" t="s">
        <v>327</v>
      </c>
      <c r="D84" t="s">
        <v>100</v>
      </c>
      <c r="E84" t="s">
        <v>5</v>
      </c>
      <c r="F84" t="s">
        <v>25</v>
      </c>
      <c r="G84" t="s">
        <v>33</v>
      </c>
      <c r="H84" s="5" t="s">
        <v>101</v>
      </c>
      <c r="I84" s="7">
        <v>-4.03</v>
      </c>
      <c r="J84" s="7">
        <v>4.03</v>
      </c>
      <c r="K84" s="7">
        <v>0</v>
      </c>
      <c r="L84" s="7">
        <v>15327.04</v>
      </c>
      <c r="M84" t="s">
        <v>54</v>
      </c>
      <c r="N84" t="s">
        <v>55</v>
      </c>
      <c r="O84">
        <v>5</v>
      </c>
      <c r="P84" s="5" t="s">
        <v>328</v>
      </c>
    </row>
    <row r="85" spans="1:16">
      <c r="A85" s="4">
        <v>46185</v>
      </c>
      <c r="B85" t="s">
        <v>329</v>
      </c>
      <c r="C85" s="5"/>
      <c r="D85" t="s">
        <v>330</v>
      </c>
      <c r="E85" t="s">
        <v>3</v>
      </c>
      <c r="F85" t="s">
        <v>26</v>
      </c>
      <c r="G85" t="s">
        <v>35</v>
      </c>
      <c r="H85" s="5" t="s">
        <v>331</v>
      </c>
      <c r="I85" s="7">
        <v>-32.3</v>
      </c>
      <c r="J85" s="7">
        <v>32.3</v>
      </c>
      <c r="K85" s="7">
        <v>0</v>
      </c>
      <c r="L85" s="7">
        <v>15294.74</v>
      </c>
      <c r="M85" t="s">
        <v>54</v>
      </c>
      <c r="N85" t="s">
        <v>55</v>
      </c>
      <c r="O85">
        <v>5</v>
      </c>
      <c r="P85" s="5" t="s">
        <v>332</v>
      </c>
    </row>
    <row r="86" spans="1:16">
      <c r="A86" s="4">
        <v>46185</v>
      </c>
      <c r="B86" t="s">
        <v>333</v>
      </c>
      <c r="C86" s="5"/>
      <c r="D86" t="s">
        <v>334</v>
      </c>
      <c r="E86" t="s">
        <v>3</v>
      </c>
      <c r="F86" t="s">
        <v>26</v>
      </c>
      <c r="G86" t="s">
        <v>35</v>
      </c>
      <c r="H86" s="5" t="s">
        <v>241</v>
      </c>
      <c r="I86" s="7">
        <v>-9.65</v>
      </c>
      <c r="J86" s="7">
        <v>9.65</v>
      </c>
      <c r="K86" s="7">
        <v>0</v>
      </c>
      <c r="L86" s="7">
        <v>15285.09</v>
      </c>
      <c r="M86" t="s">
        <v>54</v>
      </c>
      <c r="N86" t="s">
        <v>55</v>
      </c>
      <c r="O86">
        <v>5</v>
      </c>
      <c r="P86" s="5" t="s">
        <v>335</v>
      </c>
    </row>
    <row r="87" spans="1:16">
      <c r="A87" s="4">
        <v>46185</v>
      </c>
      <c r="B87" t="s">
        <v>336</v>
      </c>
      <c r="C87" s="5"/>
      <c r="D87" t="s">
        <v>336</v>
      </c>
      <c r="E87" t="s">
        <v>19</v>
      </c>
      <c r="F87" t="s">
        <v>30</v>
      </c>
      <c r="G87" t="s">
        <v>37</v>
      </c>
      <c r="H87" s="5"/>
      <c r="I87" s="7">
        <v>15</v>
      </c>
      <c r="J87" s="7">
        <v>0</v>
      </c>
      <c r="K87" s="7">
        <v>15</v>
      </c>
      <c r="L87" s="7">
        <v>15300.09</v>
      </c>
      <c r="M87" t="s">
        <v>54</v>
      </c>
      <c r="N87" t="s">
        <v>55</v>
      </c>
      <c r="O87">
        <v>5</v>
      </c>
      <c r="P87" s="5" t="s">
        <v>337</v>
      </c>
    </row>
    <row r="88" spans="1:16">
      <c r="A88" s="4">
        <v>46185</v>
      </c>
      <c r="B88" t="s">
        <v>226</v>
      </c>
      <c r="C88" s="5"/>
      <c r="D88" t="s">
        <v>202</v>
      </c>
      <c r="E88" t="s">
        <v>3</v>
      </c>
      <c r="F88" t="s">
        <v>26</v>
      </c>
      <c r="G88" t="s">
        <v>35</v>
      </c>
      <c r="H88" s="5" t="s">
        <v>203</v>
      </c>
      <c r="I88" s="7">
        <v>-46</v>
      </c>
      <c r="J88" s="7">
        <v>46</v>
      </c>
      <c r="K88" s="7">
        <v>0</v>
      </c>
      <c r="L88" s="7">
        <v>15254.09</v>
      </c>
      <c r="M88" t="s">
        <v>54</v>
      </c>
      <c r="N88" t="s">
        <v>55</v>
      </c>
      <c r="O88">
        <v>5</v>
      </c>
      <c r="P88" s="5" t="s">
        <v>338</v>
      </c>
    </row>
    <row r="89" spans="1:16">
      <c r="A89" s="4">
        <v>46185</v>
      </c>
      <c r="B89" t="s">
        <v>339</v>
      </c>
      <c r="C89" s="5"/>
      <c r="D89" t="s">
        <v>340</v>
      </c>
      <c r="E89" t="s">
        <v>3</v>
      </c>
      <c r="F89" t="s">
        <v>26</v>
      </c>
      <c r="G89" t="s">
        <v>35</v>
      </c>
      <c r="H89" s="5" t="s">
        <v>341</v>
      </c>
      <c r="I89" s="7">
        <v>-22</v>
      </c>
      <c r="J89" s="7">
        <v>22</v>
      </c>
      <c r="K89" s="7">
        <v>0</v>
      </c>
      <c r="L89" s="7">
        <v>15232.09</v>
      </c>
      <c r="M89" t="s">
        <v>54</v>
      </c>
      <c r="N89" t="s">
        <v>55</v>
      </c>
      <c r="O89">
        <v>5</v>
      </c>
      <c r="P89" s="5" t="s">
        <v>342</v>
      </c>
    </row>
    <row r="90" spans="1:16">
      <c r="A90" s="4">
        <v>46186</v>
      </c>
      <c r="B90" t="s">
        <v>343</v>
      </c>
      <c r="C90" s="5" t="s">
        <v>344</v>
      </c>
      <c r="D90" t="s">
        <v>345</v>
      </c>
      <c r="E90" t="s">
        <v>3</v>
      </c>
      <c r="F90" t="s">
        <v>26</v>
      </c>
      <c r="G90" t="s">
        <v>35</v>
      </c>
      <c r="H90" s="5" t="s">
        <v>346</v>
      </c>
      <c r="I90" s="7">
        <v>-22.13</v>
      </c>
      <c r="J90" s="7">
        <v>22.13</v>
      </c>
      <c r="K90" s="7">
        <v>0</v>
      </c>
      <c r="L90" s="7">
        <v>15209.96</v>
      </c>
      <c r="M90" t="s">
        <v>54</v>
      </c>
      <c r="N90" t="s">
        <v>55</v>
      </c>
      <c r="O90">
        <v>5</v>
      </c>
      <c r="P90" s="5" t="s">
        <v>347</v>
      </c>
    </row>
    <row r="91" spans="1:16">
      <c r="A91" s="4">
        <v>46186</v>
      </c>
      <c r="B91" t="s">
        <v>109</v>
      </c>
      <c r="C91" s="5" t="s">
        <v>344</v>
      </c>
      <c r="D91" t="s">
        <v>111</v>
      </c>
      <c r="E91" t="s">
        <v>3</v>
      </c>
      <c r="F91" t="s">
        <v>26</v>
      </c>
      <c r="G91" t="s">
        <v>35</v>
      </c>
      <c r="H91" s="5" t="s">
        <v>112</v>
      </c>
      <c r="I91" s="7">
        <v>-31.85</v>
      </c>
      <c r="J91" s="7">
        <v>31.85</v>
      </c>
      <c r="K91" s="7">
        <v>0</v>
      </c>
      <c r="L91" s="7">
        <v>15178.11</v>
      </c>
      <c r="M91" t="s">
        <v>54</v>
      </c>
      <c r="N91" t="s">
        <v>55</v>
      </c>
      <c r="O91">
        <v>5</v>
      </c>
      <c r="P91" s="5" t="s">
        <v>348</v>
      </c>
    </row>
    <row r="92" spans="1:16">
      <c r="A92" s="4">
        <v>46186</v>
      </c>
      <c r="B92" t="s">
        <v>280</v>
      </c>
      <c r="C92" s="5" t="s">
        <v>349</v>
      </c>
      <c r="D92" t="s">
        <v>282</v>
      </c>
      <c r="E92" t="s">
        <v>8</v>
      </c>
      <c r="F92" t="s">
        <v>26</v>
      </c>
      <c r="G92" t="s">
        <v>35</v>
      </c>
      <c r="H92" s="5" t="s">
        <v>176</v>
      </c>
      <c r="I92" s="7">
        <v>-35.02</v>
      </c>
      <c r="J92" s="7">
        <v>35.02</v>
      </c>
      <c r="K92" s="7">
        <v>0</v>
      </c>
      <c r="L92" s="7">
        <v>15143.09</v>
      </c>
      <c r="M92" t="s">
        <v>54</v>
      </c>
      <c r="N92" t="s">
        <v>55</v>
      </c>
      <c r="O92">
        <v>6</v>
      </c>
      <c r="P92" s="5" t="s">
        <v>350</v>
      </c>
    </row>
    <row r="93" spans="1:16">
      <c r="A93" s="4">
        <v>46186</v>
      </c>
      <c r="B93" t="s">
        <v>98</v>
      </c>
      <c r="C93" s="5" t="s">
        <v>351</v>
      </c>
      <c r="D93" t="s">
        <v>100</v>
      </c>
      <c r="E93" t="s">
        <v>5</v>
      </c>
      <c r="F93" t="s">
        <v>25</v>
      </c>
      <c r="G93" t="s">
        <v>33</v>
      </c>
      <c r="H93" s="5" t="s">
        <v>101</v>
      </c>
      <c r="I93" s="7">
        <v>-4.03</v>
      </c>
      <c r="J93" s="7">
        <v>4.03</v>
      </c>
      <c r="K93" s="7">
        <v>0</v>
      </c>
      <c r="L93" s="7">
        <v>15139.06</v>
      </c>
      <c r="M93" t="s">
        <v>54</v>
      </c>
      <c r="N93" t="s">
        <v>55</v>
      </c>
      <c r="O93">
        <v>6</v>
      </c>
      <c r="P93" s="5" t="s">
        <v>352</v>
      </c>
    </row>
    <row r="94" spans="1:16">
      <c r="A94" s="4">
        <v>46186</v>
      </c>
      <c r="B94" t="s">
        <v>133</v>
      </c>
      <c r="C94" s="5"/>
      <c r="D94" t="s">
        <v>83</v>
      </c>
      <c r="E94" t="s">
        <v>2</v>
      </c>
      <c r="F94" t="s">
        <v>25</v>
      </c>
      <c r="G94" t="s">
        <v>35</v>
      </c>
      <c r="H94" s="5" t="s">
        <v>84</v>
      </c>
      <c r="I94" s="7">
        <v>-10</v>
      </c>
      <c r="J94" s="7">
        <v>10</v>
      </c>
      <c r="K94" s="7">
        <v>0</v>
      </c>
      <c r="L94" s="7">
        <v>15129.06</v>
      </c>
      <c r="M94" t="s">
        <v>54</v>
      </c>
      <c r="N94" t="s">
        <v>55</v>
      </c>
      <c r="O94">
        <v>6</v>
      </c>
      <c r="P94" s="5" t="s">
        <v>353</v>
      </c>
    </row>
    <row r="95" spans="1:16">
      <c r="A95" s="4">
        <v>46186</v>
      </c>
      <c r="B95" t="s">
        <v>354</v>
      </c>
      <c r="C95" s="5"/>
      <c r="D95" t="s">
        <v>355</v>
      </c>
      <c r="E95" t="s">
        <v>2</v>
      </c>
      <c r="F95" t="s">
        <v>25</v>
      </c>
      <c r="G95" t="s">
        <v>35</v>
      </c>
      <c r="H95" s="5" t="s">
        <v>356</v>
      </c>
      <c r="I95" s="7">
        <v>-4.49</v>
      </c>
      <c r="J95" s="7">
        <v>4.49</v>
      </c>
      <c r="K95" s="7">
        <v>0</v>
      </c>
      <c r="L95" s="7">
        <v>15124.57</v>
      </c>
      <c r="M95" t="s">
        <v>54</v>
      </c>
      <c r="N95" t="s">
        <v>55</v>
      </c>
      <c r="O95">
        <v>6</v>
      </c>
      <c r="P95" s="5" t="s">
        <v>357</v>
      </c>
    </row>
    <row r="96" spans="1:16">
      <c r="A96" s="4">
        <v>46186</v>
      </c>
      <c r="B96" t="s">
        <v>133</v>
      </c>
      <c r="C96" s="5"/>
      <c r="D96" t="s">
        <v>83</v>
      </c>
      <c r="E96" t="s">
        <v>2</v>
      </c>
      <c r="F96" t="s">
        <v>25</v>
      </c>
      <c r="G96" t="s">
        <v>35</v>
      </c>
      <c r="H96" s="5" t="s">
        <v>84</v>
      </c>
      <c r="I96" s="7">
        <v>-3.5</v>
      </c>
      <c r="J96" s="7">
        <v>3.5</v>
      </c>
      <c r="K96" s="7">
        <v>0</v>
      </c>
      <c r="L96" s="7">
        <v>15121.07</v>
      </c>
      <c r="M96" t="s">
        <v>54</v>
      </c>
      <c r="N96" t="s">
        <v>55</v>
      </c>
      <c r="O96">
        <v>6</v>
      </c>
      <c r="P96" s="5" t="s">
        <v>358</v>
      </c>
    </row>
    <row r="97" spans="1:16">
      <c r="A97" s="4">
        <v>46186</v>
      </c>
      <c r="B97" t="s">
        <v>133</v>
      </c>
      <c r="C97" s="5"/>
      <c r="D97" t="s">
        <v>83</v>
      </c>
      <c r="E97" t="s">
        <v>2</v>
      </c>
      <c r="F97" t="s">
        <v>25</v>
      </c>
      <c r="G97" t="s">
        <v>35</v>
      </c>
      <c r="H97" s="5" t="s">
        <v>84</v>
      </c>
      <c r="I97" s="7">
        <v>-13.8</v>
      </c>
      <c r="J97" s="7">
        <v>13.8</v>
      </c>
      <c r="K97" s="7">
        <v>0</v>
      </c>
      <c r="L97" s="7">
        <v>15107.27</v>
      </c>
      <c r="M97" t="s">
        <v>54</v>
      </c>
      <c r="N97" t="s">
        <v>55</v>
      </c>
      <c r="O97">
        <v>6</v>
      </c>
      <c r="P97" s="5" t="s">
        <v>359</v>
      </c>
    </row>
    <row r="98" spans="1:16">
      <c r="A98" s="4">
        <v>46187</v>
      </c>
      <c r="B98" t="s">
        <v>205</v>
      </c>
      <c r="C98" s="5"/>
      <c r="D98" t="s">
        <v>206</v>
      </c>
      <c r="E98" t="s">
        <v>3</v>
      </c>
      <c r="F98" t="s">
        <v>26</v>
      </c>
      <c r="G98" t="s">
        <v>35</v>
      </c>
      <c r="H98" s="5" t="s">
        <v>207</v>
      </c>
      <c r="I98" s="7">
        <v>-19.09</v>
      </c>
      <c r="J98" s="7">
        <v>19.09</v>
      </c>
      <c r="K98" s="7">
        <v>0</v>
      </c>
      <c r="L98" s="7">
        <v>15088.18</v>
      </c>
      <c r="M98" t="s">
        <v>54</v>
      </c>
      <c r="N98" t="s">
        <v>55</v>
      </c>
      <c r="O98">
        <v>6</v>
      </c>
      <c r="P98" s="5" t="s">
        <v>360</v>
      </c>
    </row>
    <row r="99" spans="1:16">
      <c r="A99" s="4">
        <v>46187</v>
      </c>
      <c r="B99" t="s">
        <v>205</v>
      </c>
      <c r="C99" s="5"/>
      <c r="D99" t="s">
        <v>206</v>
      </c>
      <c r="E99" t="s">
        <v>3</v>
      </c>
      <c r="F99" t="s">
        <v>26</v>
      </c>
      <c r="G99" t="s">
        <v>35</v>
      </c>
      <c r="H99" s="5" t="s">
        <v>207</v>
      </c>
      <c r="I99" s="7">
        <v>-10.16</v>
      </c>
      <c r="J99" s="7">
        <v>10.16</v>
      </c>
      <c r="K99" s="7">
        <v>0</v>
      </c>
      <c r="L99" s="7">
        <v>15078.02</v>
      </c>
      <c r="M99" t="s">
        <v>54</v>
      </c>
      <c r="N99" t="s">
        <v>55</v>
      </c>
      <c r="O99">
        <v>6</v>
      </c>
      <c r="P99" s="5" t="s">
        <v>361</v>
      </c>
    </row>
    <row r="100" spans="1:16">
      <c r="A100" s="4">
        <v>46188</v>
      </c>
      <c r="B100" t="s">
        <v>362</v>
      </c>
      <c r="C100" s="5" t="s">
        <v>363</v>
      </c>
      <c r="D100" t="s">
        <v>362</v>
      </c>
      <c r="E100" t="s">
        <v>4</v>
      </c>
      <c r="F100" t="s">
        <v>25</v>
      </c>
      <c r="G100" t="s">
        <v>35</v>
      </c>
      <c r="H100" s="5" t="s">
        <v>364</v>
      </c>
      <c r="I100" s="7">
        <v>-138</v>
      </c>
      <c r="J100" s="7">
        <v>138</v>
      </c>
      <c r="K100" s="7">
        <v>0</v>
      </c>
      <c r="L100" s="7">
        <v>14940.02</v>
      </c>
      <c r="M100" t="s">
        <v>54</v>
      </c>
      <c r="N100" t="s">
        <v>55</v>
      </c>
      <c r="O100">
        <v>6</v>
      </c>
      <c r="P100" s="5" t="s">
        <v>365</v>
      </c>
    </row>
    <row r="101" spans="1:16">
      <c r="A101" s="4">
        <v>46189</v>
      </c>
      <c r="B101" t="s">
        <v>245</v>
      </c>
      <c r="C101" s="5" t="s">
        <v>366</v>
      </c>
      <c r="D101" t="s">
        <v>246</v>
      </c>
      <c r="E101" t="s">
        <v>17</v>
      </c>
      <c r="F101" t="s">
        <v>29</v>
      </c>
      <c r="G101" s="8" t="s">
        <v>36</v>
      </c>
      <c r="H101" s="5"/>
      <c r="I101" s="7">
        <v>-21.69</v>
      </c>
      <c r="J101" s="7">
        <v>21.69</v>
      </c>
      <c r="K101" s="7">
        <v>0</v>
      </c>
      <c r="L101" s="7">
        <v>14918.33</v>
      </c>
      <c r="M101" t="s">
        <v>54</v>
      </c>
      <c r="N101" t="s">
        <v>55</v>
      </c>
      <c r="O101">
        <v>6</v>
      </c>
      <c r="P101" s="5" t="s">
        <v>367</v>
      </c>
    </row>
    <row r="102" spans="1:16">
      <c r="A102" s="4">
        <v>46189</v>
      </c>
      <c r="B102" t="s">
        <v>368</v>
      </c>
      <c r="C102" s="5" t="s">
        <v>366</v>
      </c>
      <c r="D102" t="s">
        <v>369</v>
      </c>
      <c r="E102" t="s">
        <v>3</v>
      </c>
      <c r="F102" t="s">
        <v>26</v>
      </c>
      <c r="G102" t="s">
        <v>35</v>
      </c>
      <c r="H102" s="5" t="s">
        <v>75</v>
      </c>
      <c r="I102" s="7">
        <v>-4.87</v>
      </c>
      <c r="J102" s="7">
        <v>4.87</v>
      </c>
      <c r="K102" s="7">
        <v>0</v>
      </c>
      <c r="L102" s="7">
        <v>14913.46</v>
      </c>
      <c r="M102" t="s">
        <v>54</v>
      </c>
      <c r="N102" t="s">
        <v>55</v>
      </c>
      <c r="O102">
        <v>6</v>
      </c>
      <c r="P102" s="5" t="s">
        <v>370</v>
      </c>
    </row>
    <row r="103" spans="1:16">
      <c r="A103" s="4">
        <v>46189</v>
      </c>
      <c r="B103" t="s">
        <v>81</v>
      </c>
      <c r="C103" s="5" t="s">
        <v>371</v>
      </c>
      <c r="D103" t="s">
        <v>83</v>
      </c>
      <c r="E103" t="s">
        <v>2</v>
      </c>
      <c r="F103" t="s">
        <v>25</v>
      </c>
      <c r="G103" t="s">
        <v>35</v>
      </c>
      <c r="H103" s="5" t="s">
        <v>84</v>
      </c>
      <c r="I103" s="7">
        <v>-26</v>
      </c>
      <c r="J103" s="7">
        <v>26</v>
      </c>
      <c r="K103" s="7">
        <v>0</v>
      </c>
      <c r="L103" s="7">
        <v>14887.46</v>
      </c>
      <c r="M103" t="s">
        <v>54</v>
      </c>
      <c r="N103" t="s">
        <v>55</v>
      </c>
      <c r="O103">
        <v>6</v>
      </c>
      <c r="P103" s="5" t="s">
        <v>372</v>
      </c>
    </row>
    <row r="104" spans="1:16">
      <c r="A104" s="4">
        <v>46189</v>
      </c>
      <c r="B104" t="s">
        <v>81</v>
      </c>
      <c r="C104" s="5" t="s">
        <v>373</v>
      </c>
      <c r="D104" t="s">
        <v>83</v>
      </c>
      <c r="E104" t="s">
        <v>2</v>
      </c>
      <c r="F104" t="s">
        <v>25</v>
      </c>
      <c r="G104" t="s">
        <v>35</v>
      </c>
      <c r="H104" s="5" t="s">
        <v>84</v>
      </c>
      <c r="I104" s="7">
        <v>-66.76000000000001</v>
      </c>
      <c r="J104" s="7">
        <v>66.76000000000001</v>
      </c>
      <c r="K104" s="7">
        <v>0</v>
      </c>
      <c r="L104" s="7">
        <v>14820.7</v>
      </c>
      <c r="M104" t="s">
        <v>54</v>
      </c>
      <c r="N104" t="s">
        <v>55</v>
      </c>
      <c r="O104">
        <v>6</v>
      </c>
      <c r="P104" s="5" t="s">
        <v>374</v>
      </c>
    </row>
    <row r="105" spans="1:16">
      <c r="A105" s="4">
        <v>46189</v>
      </c>
      <c r="B105" t="s">
        <v>98</v>
      </c>
      <c r="C105" s="5" t="s">
        <v>375</v>
      </c>
      <c r="D105" t="s">
        <v>100</v>
      </c>
      <c r="E105" t="s">
        <v>5</v>
      </c>
      <c r="F105" t="s">
        <v>25</v>
      </c>
      <c r="G105" t="s">
        <v>33</v>
      </c>
      <c r="H105" s="5" t="s">
        <v>101</v>
      </c>
      <c r="I105" s="7">
        <v>-4.03</v>
      </c>
      <c r="J105" s="7">
        <v>4.03</v>
      </c>
      <c r="K105" s="7">
        <v>0</v>
      </c>
      <c r="L105" s="7">
        <v>14816.67</v>
      </c>
      <c r="M105" t="s">
        <v>54</v>
      </c>
      <c r="N105" t="s">
        <v>55</v>
      </c>
      <c r="O105">
        <v>6</v>
      </c>
      <c r="P105" s="5" t="s">
        <v>376</v>
      </c>
    </row>
    <row r="106" spans="1:16">
      <c r="A106" s="4">
        <v>46189</v>
      </c>
      <c r="B106" t="s">
        <v>377</v>
      </c>
      <c r="C106" s="5" t="s">
        <v>378</v>
      </c>
      <c r="D106" t="s">
        <v>379</v>
      </c>
      <c r="E106" t="s">
        <v>8</v>
      </c>
      <c r="F106" t="s">
        <v>26</v>
      </c>
      <c r="G106" t="s">
        <v>33</v>
      </c>
      <c r="H106" s="5" t="s">
        <v>380</v>
      </c>
      <c r="I106" s="7">
        <v>-106.87</v>
      </c>
      <c r="J106" s="7">
        <v>106.87</v>
      </c>
      <c r="K106" s="7">
        <v>0</v>
      </c>
      <c r="L106" s="7">
        <v>14709.8</v>
      </c>
      <c r="M106" t="s">
        <v>54</v>
      </c>
      <c r="N106" t="s">
        <v>55</v>
      </c>
      <c r="O106">
        <v>6</v>
      </c>
      <c r="P106" s="5" t="s">
        <v>381</v>
      </c>
    </row>
    <row r="107" spans="1:16">
      <c r="A107" s="4">
        <v>46189</v>
      </c>
      <c r="B107" t="s">
        <v>183</v>
      </c>
      <c r="C107" s="5" t="s">
        <v>382</v>
      </c>
      <c r="D107" t="s">
        <v>183</v>
      </c>
      <c r="E107" t="s">
        <v>13</v>
      </c>
      <c r="F107" t="s">
        <v>25</v>
      </c>
      <c r="G107" t="s">
        <v>35</v>
      </c>
      <c r="H107" s="5" t="s">
        <v>185</v>
      </c>
      <c r="I107" s="7">
        <v>-3.74</v>
      </c>
      <c r="J107" s="7">
        <v>3.74</v>
      </c>
      <c r="K107" s="7">
        <v>0</v>
      </c>
      <c r="L107" s="7">
        <v>14706.06</v>
      </c>
      <c r="M107" t="s">
        <v>54</v>
      </c>
      <c r="N107" t="s">
        <v>55</v>
      </c>
      <c r="O107">
        <v>6</v>
      </c>
      <c r="P107" s="5" t="s">
        <v>383</v>
      </c>
    </row>
    <row r="108" spans="1:16">
      <c r="A108" s="4">
        <v>46189</v>
      </c>
      <c r="B108" t="s">
        <v>384</v>
      </c>
      <c r="C108" s="5" t="s">
        <v>375</v>
      </c>
      <c r="D108" t="s">
        <v>385</v>
      </c>
      <c r="E108" t="s">
        <v>3</v>
      </c>
      <c r="F108" t="s">
        <v>26</v>
      </c>
      <c r="G108" t="s">
        <v>35</v>
      </c>
      <c r="H108" s="5" t="s">
        <v>93</v>
      </c>
      <c r="I108" s="7">
        <v>-16.9</v>
      </c>
      <c r="J108" s="7">
        <v>16.9</v>
      </c>
      <c r="K108" s="7">
        <v>0</v>
      </c>
      <c r="L108" s="7">
        <v>14689.16</v>
      </c>
      <c r="M108" t="s">
        <v>54</v>
      </c>
      <c r="N108" t="s">
        <v>55</v>
      </c>
      <c r="O108">
        <v>6</v>
      </c>
      <c r="P108" s="5" t="s">
        <v>386</v>
      </c>
    </row>
    <row r="109" spans="1:16">
      <c r="A109" s="4">
        <v>46189</v>
      </c>
      <c r="B109" t="s">
        <v>149</v>
      </c>
      <c r="C109" s="5" t="s">
        <v>387</v>
      </c>
      <c r="D109" t="s">
        <v>150</v>
      </c>
      <c r="E109" t="s">
        <v>3</v>
      </c>
      <c r="F109" t="s">
        <v>26</v>
      </c>
      <c r="G109" s="6" t="s">
        <v>34</v>
      </c>
      <c r="H109" s="5" t="s">
        <v>151</v>
      </c>
      <c r="I109" s="7">
        <v>-6.07</v>
      </c>
      <c r="J109" s="7">
        <v>6.07</v>
      </c>
      <c r="K109" s="7">
        <v>0</v>
      </c>
      <c r="L109" s="7">
        <v>14683.09</v>
      </c>
      <c r="M109" t="s">
        <v>54</v>
      </c>
      <c r="N109" t="s">
        <v>55</v>
      </c>
      <c r="O109">
        <v>6</v>
      </c>
      <c r="P109" s="5" t="s">
        <v>388</v>
      </c>
    </row>
    <row r="110" spans="1:16">
      <c r="A110" s="4">
        <v>46189</v>
      </c>
      <c r="B110" t="s">
        <v>389</v>
      </c>
      <c r="C110" s="5" t="s">
        <v>387</v>
      </c>
      <c r="D110" t="s">
        <v>390</v>
      </c>
      <c r="E110" t="s">
        <v>17</v>
      </c>
      <c r="F110" t="s">
        <v>29</v>
      </c>
      <c r="G110" s="8" t="s">
        <v>36</v>
      </c>
      <c r="H110" s="5"/>
      <c r="I110" s="7">
        <v>-19.21</v>
      </c>
      <c r="J110" s="7">
        <v>19.21</v>
      </c>
      <c r="K110" s="7">
        <v>0</v>
      </c>
      <c r="L110" s="7">
        <v>14663.88</v>
      </c>
      <c r="M110" t="s">
        <v>54</v>
      </c>
      <c r="N110" t="s">
        <v>55</v>
      </c>
      <c r="O110">
        <v>6</v>
      </c>
      <c r="P110" s="5" t="s">
        <v>391</v>
      </c>
    </row>
    <row r="111" spans="1:16">
      <c r="A111" s="4">
        <v>46189</v>
      </c>
      <c r="B111" t="s">
        <v>392</v>
      </c>
      <c r="C111" s="5" t="s">
        <v>387</v>
      </c>
      <c r="D111" t="s">
        <v>393</v>
      </c>
      <c r="E111" t="s">
        <v>3</v>
      </c>
      <c r="F111" t="s">
        <v>26</v>
      </c>
      <c r="G111" t="s">
        <v>35</v>
      </c>
      <c r="H111" s="5" t="s">
        <v>316</v>
      </c>
      <c r="I111" s="7">
        <v>-8</v>
      </c>
      <c r="J111" s="7">
        <v>8</v>
      </c>
      <c r="K111" s="7">
        <v>0</v>
      </c>
      <c r="L111" s="7">
        <v>14655.88</v>
      </c>
      <c r="M111" t="s">
        <v>54</v>
      </c>
      <c r="N111" t="s">
        <v>55</v>
      </c>
      <c r="O111">
        <v>7</v>
      </c>
      <c r="P111" s="5" t="s">
        <v>394</v>
      </c>
    </row>
    <row r="112" spans="1:16">
      <c r="A112" s="4">
        <v>46189</v>
      </c>
      <c r="B112" t="s">
        <v>395</v>
      </c>
      <c r="C112" s="5"/>
      <c r="D112" t="s">
        <v>396</v>
      </c>
      <c r="E112" t="s">
        <v>3</v>
      </c>
      <c r="F112" t="s">
        <v>26</v>
      </c>
      <c r="G112" t="s">
        <v>35</v>
      </c>
      <c r="H112" s="5" t="s">
        <v>397</v>
      </c>
      <c r="I112" s="7">
        <v>-9.09</v>
      </c>
      <c r="J112" s="7">
        <v>9.09</v>
      </c>
      <c r="K112" s="7">
        <v>0</v>
      </c>
      <c r="L112" s="7">
        <v>14646.79</v>
      </c>
      <c r="M112" t="s">
        <v>54</v>
      </c>
      <c r="N112" t="s">
        <v>55</v>
      </c>
      <c r="O112">
        <v>7</v>
      </c>
      <c r="P112" s="5" t="s">
        <v>398</v>
      </c>
    </row>
    <row r="113" spans="1:16">
      <c r="A113" s="4">
        <v>46189</v>
      </c>
      <c r="B113" t="s">
        <v>51</v>
      </c>
      <c r="C113" s="5"/>
      <c r="D113" t="s">
        <v>52</v>
      </c>
      <c r="E113" t="s">
        <v>3</v>
      </c>
      <c r="F113" t="s">
        <v>26</v>
      </c>
      <c r="G113" s="6" t="s">
        <v>34</v>
      </c>
      <c r="H113" s="5" t="s">
        <v>53</v>
      </c>
      <c r="I113" s="7">
        <v>-7.1</v>
      </c>
      <c r="J113" s="7">
        <v>7.1</v>
      </c>
      <c r="K113" s="7">
        <v>0</v>
      </c>
      <c r="L113" s="7">
        <v>14639.69</v>
      </c>
      <c r="M113" t="s">
        <v>54</v>
      </c>
      <c r="N113" t="s">
        <v>55</v>
      </c>
      <c r="O113">
        <v>7</v>
      </c>
      <c r="P113" s="5" t="s">
        <v>399</v>
      </c>
    </row>
    <row r="114" spans="1:16">
      <c r="A114" s="4">
        <v>46189</v>
      </c>
      <c r="B114" t="s">
        <v>226</v>
      </c>
      <c r="C114" s="5"/>
      <c r="D114" t="s">
        <v>202</v>
      </c>
      <c r="E114" t="s">
        <v>3</v>
      </c>
      <c r="F114" t="s">
        <v>26</v>
      </c>
      <c r="G114" t="s">
        <v>35</v>
      </c>
      <c r="H114" s="5" t="s">
        <v>203</v>
      </c>
      <c r="I114" s="7">
        <v>-45</v>
      </c>
      <c r="J114" s="7">
        <v>45</v>
      </c>
      <c r="K114" s="7">
        <v>0</v>
      </c>
      <c r="L114" s="7">
        <v>14594.69</v>
      </c>
      <c r="M114" t="s">
        <v>54</v>
      </c>
      <c r="N114" t="s">
        <v>55</v>
      </c>
      <c r="O114">
        <v>7</v>
      </c>
      <c r="P114" s="5" t="s">
        <v>400</v>
      </c>
    </row>
    <row r="115" spans="1:16">
      <c r="A115" s="4">
        <v>46190</v>
      </c>
      <c r="B115" t="s">
        <v>109</v>
      </c>
      <c r="C115" s="5" t="s">
        <v>401</v>
      </c>
      <c r="D115" t="s">
        <v>111</v>
      </c>
      <c r="E115" t="s">
        <v>3</v>
      </c>
      <c r="F115" t="s">
        <v>26</v>
      </c>
      <c r="G115" t="s">
        <v>35</v>
      </c>
      <c r="H115" s="5" t="s">
        <v>112</v>
      </c>
      <c r="I115" s="7">
        <v>-25.75</v>
      </c>
      <c r="J115" s="7">
        <v>25.75</v>
      </c>
      <c r="K115" s="7">
        <v>0</v>
      </c>
      <c r="L115" s="7">
        <v>14568.94</v>
      </c>
      <c r="M115" t="s">
        <v>54</v>
      </c>
      <c r="N115" t="s">
        <v>55</v>
      </c>
      <c r="O115">
        <v>7</v>
      </c>
      <c r="P115" s="5" t="s">
        <v>402</v>
      </c>
    </row>
    <row r="116" spans="1:16">
      <c r="A116" s="4">
        <v>46190</v>
      </c>
      <c r="B116" t="s">
        <v>120</v>
      </c>
      <c r="C116" s="5" t="s">
        <v>375</v>
      </c>
      <c r="D116" t="s">
        <v>121</v>
      </c>
      <c r="E116" t="s">
        <v>2</v>
      </c>
      <c r="F116" t="s">
        <v>25</v>
      </c>
      <c r="G116" t="s">
        <v>35</v>
      </c>
      <c r="H116" s="5" t="s">
        <v>122</v>
      </c>
      <c r="I116" s="7">
        <v>-4.91</v>
      </c>
      <c r="J116" s="7">
        <v>4.91</v>
      </c>
      <c r="K116" s="7">
        <v>0</v>
      </c>
      <c r="L116" s="7">
        <v>14564.03</v>
      </c>
      <c r="M116" t="s">
        <v>54</v>
      </c>
      <c r="N116" t="s">
        <v>55</v>
      </c>
      <c r="O116">
        <v>7</v>
      </c>
      <c r="P116" s="5" t="s">
        <v>403</v>
      </c>
    </row>
    <row r="117" spans="1:16">
      <c r="A117" s="4">
        <v>46190</v>
      </c>
      <c r="B117" t="s">
        <v>395</v>
      </c>
      <c r="C117" s="5"/>
      <c r="D117" t="s">
        <v>396</v>
      </c>
      <c r="E117" t="s">
        <v>3</v>
      </c>
      <c r="F117" t="s">
        <v>26</v>
      </c>
      <c r="G117" t="s">
        <v>35</v>
      </c>
      <c r="H117" s="5" t="s">
        <v>397</v>
      </c>
      <c r="I117" s="7">
        <v>-4.24</v>
      </c>
      <c r="J117" s="7">
        <v>4.24</v>
      </c>
      <c r="K117" s="7">
        <v>0</v>
      </c>
      <c r="L117" s="7">
        <v>14559.79</v>
      </c>
      <c r="M117" t="s">
        <v>54</v>
      </c>
      <c r="N117" t="s">
        <v>55</v>
      </c>
      <c r="O117">
        <v>7</v>
      </c>
      <c r="P117" s="5" t="s">
        <v>404</v>
      </c>
    </row>
    <row r="118" spans="1:16">
      <c r="A118" s="4">
        <v>46190</v>
      </c>
      <c r="B118" t="s">
        <v>51</v>
      </c>
      <c r="C118" s="5"/>
      <c r="D118" t="s">
        <v>52</v>
      </c>
      <c r="E118" t="s">
        <v>3</v>
      </c>
      <c r="F118" t="s">
        <v>26</v>
      </c>
      <c r="G118" s="6" t="s">
        <v>34</v>
      </c>
      <c r="H118" s="5" t="s">
        <v>53</v>
      </c>
      <c r="I118" s="7">
        <v>-7.1</v>
      </c>
      <c r="J118" s="7">
        <v>7.1</v>
      </c>
      <c r="K118" s="7">
        <v>0</v>
      </c>
      <c r="L118" s="7">
        <v>14552.69</v>
      </c>
      <c r="M118" t="s">
        <v>54</v>
      </c>
      <c r="N118" t="s">
        <v>55</v>
      </c>
      <c r="O118">
        <v>7</v>
      </c>
      <c r="P118" s="5" t="s">
        <v>405</v>
      </c>
    </row>
    <row r="119" spans="1:16">
      <c r="A119" s="4">
        <v>46190</v>
      </c>
      <c r="B119" t="s">
        <v>406</v>
      </c>
      <c r="C119" s="5"/>
      <c r="D119" t="s">
        <v>407</v>
      </c>
      <c r="E119" t="s">
        <v>3</v>
      </c>
      <c r="F119" t="s">
        <v>26</v>
      </c>
      <c r="G119" t="s">
        <v>35</v>
      </c>
      <c r="H119" s="5" t="s">
        <v>75</v>
      </c>
      <c r="I119" s="7">
        <v>-9.65</v>
      </c>
      <c r="J119" s="7">
        <v>9.65</v>
      </c>
      <c r="K119" s="7">
        <v>0</v>
      </c>
      <c r="L119" s="7">
        <v>14543.04</v>
      </c>
      <c r="M119" t="s">
        <v>54</v>
      </c>
      <c r="N119" t="s">
        <v>55</v>
      </c>
      <c r="O119">
        <v>7</v>
      </c>
      <c r="P119" s="5" t="s">
        <v>408</v>
      </c>
    </row>
    <row r="120" spans="1:16">
      <c r="A120" s="4">
        <v>46190</v>
      </c>
      <c r="B120" t="s">
        <v>297</v>
      </c>
      <c r="C120" s="5"/>
      <c r="D120" t="s">
        <v>298</v>
      </c>
      <c r="E120" t="s">
        <v>3</v>
      </c>
      <c r="F120" t="s">
        <v>26</v>
      </c>
      <c r="G120" t="s">
        <v>35</v>
      </c>
      <c r="H120" s="5" t="s">
        <v>299</v>
      </c>
      <c r="I120" s="7">
        <v>-5.05</v>
      </c>
      <c r="J120" s="7">
        <v>5.05</v>
      </c>
      <c r="K120" s="7">
        <v>0</v>
      </c>
      <c r="L120" s="7">
        <v>14537.99</v>
      </c>
      <c r="M120" t="s">
        <v>54</v>
      </c>
      <c r="N120" t="s">
        <v>55</v>
      </c>
      <c r="O120">
        <v>7</v>
      </c>
      <c r="P120" s="5" t="s">
        <v>409</v>
      </c>
    </row>
    <row r="121" spans="1:16">
      <c r="A121" s="4">
        <v>46190</v>
      </c>
      <c r="B121" t="s">
        <v>138</v>
      </c>
      <c r="C121" s="5" t="s">
        <v>410</v>
      </c>
      <c r="D121" t="s">
        <v>138</v>
      </c>
      <c r="E121" t="s">
        <v>6</v>
      </c>
      <c r="F121" t="s">
        <v>26</v>
      </c>
      <c r="G121" t="s">
        <v>35</v>
      </c>
      <c r="H121" s="5" t="s">
        <v>140</v>
      </c>
      <c r="I121" s="7">
        <v>-68</v>
      </c>
      <c r="J121" s="7">
        <v>68</v>
      </c>
      <c r="K121" s="7">
        <v>0</v>
      </c>
      <c r="L121" s="7">
        <v>14469.99</v>
      </c>
      <c r="M121" t="s">
        <v>54</v>
      </c>
      <c r="N121" t="s">
        <v>55</v>
      </c>
      <c r="O121">
        <v>7</v>
      </c>
      <c r="P121" s="5" t="s">
        <v>411</v>
      </c>
    </row>
    <row r="122" spans="1:16">
      <c r="A122" s="4">
        <v>46191</v>
      </c>
      <c r="B122" t="s">
        <v>280</v>
      </c>
      <c r="C122" s="5" t="s">
        <v>412</v>
      </c>
      <c r="D122" t="s">
        <v>282</v>
      </c>
      <c r="E122" t="s">
        <v>8</v>
      </c>
      <c r="F122" t="s">
        <v>26</v>
      </c>
      <c r="G122" t="s">
        <v>35</v>
      </c>
      <c r="H122" s="5" t="s">
        <v>176</v>
      </c>
      <c r="I122" s="7">
        <v>-31.65</v>
      </c>
      <c r="J122" s="7">
        <v>31.65</v>
      </c>
      <c r="K122" s="7">
        <v>0</v>
      </c>
      <c r="L122" s="7">
        <v>14438.34</v>
      </c>
      <c r="M122" t="s">
        <v>54</v>
      </c>
      <c r="N122" t="s">
        <v>55</v>
      </c>
      <c r="O122">
        <v>7</v>
      </c>
      <c r="P122" s="5" t="s">
        <v>413</v>
      </c>
    </row>
    <row r="123" spans="1:16">
      <c r="A123" s="4">
        <v>46191</v>
      </c>
      <c r="B123" t="s">
        <v>156</v>
      </c>
      <c r="C123" s="5" t="s">
        <v>414</v>
      </c>
      <c r="D123" t="s">
        <v>157</v>
      </c>
      <c r="E123" t="s">
        <v>3</v>
      </c>
      <c r="F123" t="s">
        <v>26</v>
      </c>
      <c r="G123" t="s">
        <v>33</v>
      </c>
      <c r="H123" s="5" t="s">
        <v>158</v>
      </c>
      <c r="I123" s="7">
        <v>-16.39</v>
      </c>
      <c r="J123" s="7">
        <v>16.39</v>
      </c>
      <c r="K123" s="7">
        <v>0</v>
      </c>
      <c r="L123" s="7">
        <v>14421.95</v>
      </c>
      <c r="M123" t="s">
        <v>54</v>
      </c>
      <c r="N123" t="s">
        <v>55</v>
      </c>
      <c r="O123">
        <v>7</v>
      </c>
      <c r="P123" s="5" t="s">
        <v>415</v>
      </c>
    </row>
    <row r="124" spans="1:16">
      <c r="A124" s="4">
        <v>46191</v>
      </c>
      <c r="B124" t="s">
        <v>160</v>
      </c>
      <c r="C124" s="5"/>
      <c r="D124" t="s">
        <v>161</v>
      </c>
      <c r="E124" t="s">
        <v>1</v>
      </c>
      <c r="F124" t="s">
        <v>25</v>
      </c>
      <c r="G124" t="s">
        <v>35</v>
      </c>
      <c r="H124" s="5" t="s">
        <v>162</v>
      </c>
      <c r="I124" s="7">
        <v>-1720</v>
      </c>
      <c r="J124" s="7">
        <v>1720</v>
      </c>
      <c r="K124" s="7">
        <v>0</v>
      </c>
      <c r="L124" s="7">
        <v>12701.95</v>
      </c>
      <c r="M124" t="s">
        <v>54</v>
      </c>
      <c r="N124" t="s">
        <v>55</v>
      </c>
      <c r="O124">
        <v>7</v>
      </c>
      <c r="P124" s="5" t="s">
        <v>416</v>
      </c>
    </row>
    <row r="125" spans="1:16">
      <c r="A125" s="4">
        <v>46191</v>
      </c>
      <c r="B125" t="s">
        <v>297</v>
      </c>
      <c r="C125" s="5"/>
      <c r="D125" t="s">
        <v>298</v>
      </c>
      <c r="E125" t="s">
        <v>3</v>
      </c>
      <c r="F125" t="s">
        <v>26</v>
      </c>
      <c r="G125" t="s">
        <v>35</v>
      </c>
      <c r="H125" s="5" t="s">
        <v>299</v>
      </c>
      <c r="I125" s="7">
        <v>-6.26</v>
      </c>
      <c r="J125" s="7">
        <v>6.26</v>
      </c>
      <c r="K125" s="7">
        <v>0</v>
      </c>
      <c r="L125" s="7">
        <v>12695.69</v>
      </c>
      <c r="M125" t="s">
        <v>54</v>
      </c>
      <c r="N125" t="s">
        <v>55</v>
      </c>
      <c r="O125">
        <v>7</v>
      </c>
      <c r="P125" s="5" t="s">
        <v>417</v>
      </c>
    </row>
    <row r="126" spans="1:16">
      <c r="A126" s="4">
        <v>46191</v>
      </c>
      <c r="B126" t="s">
        <v>133</v>
      </c>
      <c r="C126" s="5"/>
      <c r="D126" t="s">
        <v>83</v>
      </c>
      <c r="E126" t="s">
        <v>2</v>
      </c>
      <c r="F126" t="s">
        <v>25</v>
      </c>
      <c r="G126" t="s">
        <v>35</v>
      </c>
      <c r="H126" s="5" t="s">
        <v>84</v>
      </c>
      <c r="I126" s="7">
        <v>-15.45</v>
      </c>
      <c r="J126" s="7">
        <v>15.45</v>
      </c>
      <c r="K126" s="7">
        <v>0</v>
      </c>
      <c r="L126" s="7">
        <v>12680.24</v>
      </c>
      <c r="M126" t="s">
        <v>54</v>
      </c>
      <c r="N126" t="s">
        <v>55</v>
      </c>
      <c r="O126">
        <v>7</v>
      </c>
      <c r="P126" s="5" t="s">
        <v>418</v>
      </c>
    </row>
    <row r="127" spans="1:16">
      <c r="A127" s="4">
        <v>46192</v>
      </c>
      <c r="B127" t="s">
        <v>81</v>
      </c>
      <c r="C127" s="5" t="s">
        <v>419</v>
      </c>
      <c r="D127" t="s">
        <v>83</v>
      </c>
      <c r="E127" t="s">
        <v>2</v>
      </c>
      <c r="F127" t="s">
        <v>25</v>
      </c>
      <c r="G127" t="s">
        <v>35</v>
      </c>
      <c r="H127" s="5" t="s">
        <v>84</v>
      </c>
      <c r="I127" s="7">
        <v>-32.19</v>
      </c>
      <c r="J127" s="7">
        <v>32.19</v>
      </c>
      <c r="K127" s="7">
        <v>0</v>
      </c>
      <c r="L127" s="7">
        <v>12648.05</v>
      </c>
      <c r="M127" t="s">
        <v>54</v>
      </c>
      <c r="N127" t="s">
        <v>55</v>
      </c>
      <c r="O127">
        <v>7</v>
      </c>
      <c r="P127" s="5" t="s">
        <v>420</v>
      </c>
    </row>
    <row r="128" spans="1:16">
      <c r="A128" s="4">
        <v>46192</v>
      </c>
      <c r="B128" t="s">
        <v>280</v>
      </c>
      <c r="C128" s="5" t="s">
        <v>421</v>
      </c>
      <c r="D128" t="s">
        <v>282</v>
      </c>
      <c r="E128" t="s">
        <v>8</v>
      </c>
      <c r="F128" t="s">
        <v>26</v>
      </c>
      <c r="G128" t="s">
        <v>35</v>
      </c>
      <c r="H128" s="5" t="s">
        <v>176</v>
      </c>
      <c r="I128" s="7">
        <v>-62.99</v>
      </c>
      <c r="J128" s="7">
        <v>62.99</v>
      </c>
      <c r="K128" s="7">
        <v>0</v>
      </c>
      <c r="L128" s="7">
        <v>12585.06</v>
      </c>
      <c r="M128" t="s">
        <v>54</v>
      </c>
      <c r="N128" t="s">
        <v>55</v>
      </c>
      <c r="O128">
        <v>7</v>
      </c>
      <c r="P128" s="5" t="s">
        <v>422</v>
      </c>
    </row>
    <row r="129" spans="1:16">
      <c r="A129" s="4">
        <v>46192</v>
      </c>
      <c r="B129" t="s">
        <v>423</v>
      </c>
      <c r="C129" s="5" t="s">
        <v>424</v>
      </c>
      <c r="D129" t="s">
        <v>425</v>
      </c>
      <c r="E129" t="s">
        <v>12</v>
      </c>
      <c r="F129" t="s">
        <v>26</v>
      </c>
      <c r="G129" t="s">
        <v>35</v>
      </c>
      <c r="H129" s="5" t="s">
        <v>426</v>
      </c>
      <c r="I129" s="7">
        <v>-9.99</v>
      </c>
      <c r="J129" s="7">
        <v>9.99</v>
      </c>
      <c r="K129" s="7">
        <v>0</v>
      </c>
      <c r="L129" s="7">
        <v>12575.07</v>
      </c>
      <c r="M129" t="s">
        <v>54</v>
      </c>
      <c r="N129" t="s">
        <v>55</v>
      </c>
      <c r="O129">
        <v>7</v>
      </c>
      <c r="P129" s="5" t="s">
        <v>427</v>
      </c>
    </row>
    <row r="130" spans="1:16">
      <c r="A130" s="4">
        <v>46192</v>
      </c>
      <c r="B130" t="s">
        <v>428</v>
      </c>
      <c r="C130" s="5"/>
      <c r="D130" t="s">
        <v>429</v>
      </c>
      <c r="E130" t="s">
        <v>18</v>
      </c>
      <c r="F130" t="s">
        <v>30</v>
      </c>
      <c r="G130" t="s">
        <v>37</v>
      </c>
      <c r="H130" s="5"/>
      <c r="I130" s="7">
        <v>-10</v>
      </c>
      <c r="J130" s="7">
        <v>10</v>
      </c>
      <c r="K130" s="7">
        <v>0</v>
      </c>
      <c r="L130" s="7">
        <v>12565.07</v>
      </c>
      <c r="M130" t="s">
        <v>54</v>
      </c>
      <c r="N130" t="s">
        <v>55</v>
      </c>
      <c r="O130">
        <v>7</v>
      </c>
      <c r="P130" s="5" t="s">
        <v>430</v>
      </c>
    </row>
    <row r="131" spans="1:16">
      <c r="A131" s="4">
        <v>46192</v>
      </c>
      <c r="B131" t="s">
        <v>431</v>
      </c>
      <c r="C131" s="5"/>
      <c r="D131" t="s">
        <v>432</v>
      </c>
      <c r="E131" t="s">
        <v>3</v>
      </c>
      <c r="F131" t="s">
        <v>26</v>
      </c>
      <c r="G131" t="s">
        <v>35</v>
      </c>
      <c r="H131" s="5" t="s">
        <v>433</v>
      </c>
      <c r="I131" s="7">
        <v>-21</v>
      </c>
      <c r="J131" s="7">
        <v>21</v>
      </c>
      <c r="K131" s="7">
        <v>0</v>
      </c>
      <c r="L131" s="7">
        <v>12544.07</v>
      </c>
      <c r="M131" t="s">
        <v>54</v>
      </c>
      <c r="N131" t="s">
        <v>55</v>
      </c>
      <c r="O131">
        <v>7</v>
      </c>
      <c r="P131" s="5" t="s">
        <v>434</v>
      </c>
    </row>
    <row r="132" spans="1:16">
      <c r="A132" s="4">
        <v>46192</v>
      </c>
      <c r="B132" t="s">
        <v>226</v>
      </c>
      <c r="C132" s="5"/>
      <c r="D132" t="s">
        <v>202</v>
      </c>
      <c r="E132" t="s">
        <v>3</v>
      </c>
      <c r="F132" t="s">
        <v>26</v>
      </c>
      <c r="G132" t="s">
        <v>35</v>
      </c>
      <c r="H132" s="5" t="s">
        <v>203</v>
      </c>
      <c r="I132" s="7">
        <v>-54</v>
      </c>
      <c r="J132" s="7">
        <v>54</v>
      </c>
      <c r="K132" s="7">
        <v>0</v>
      </c>
      <c r="L132" s="7">
        <v>12490.07</v>
      </c>
      <c r="M132" t="s">
        <v>54</v>
      </c>
      <c r="N132" t="s">
        <v>55</v>
      </c>
      <c r="O132">
        <v>7</v>
      </c>
      <c r="P132" s="5" t="s">
        <v>435</v>
      </c>
    </row>
    <row r="133" spans="1:16">
      <c r="A133" s="4">
        <v>46193</v>
      </c>
      <c r="B133" t="s">
        <v>436</v>
      </c>
      <c r="C133" s="5" t="s">
        <v>437</v>
      </c>
      <c r="D133" t="s">
        <v>438</v>
      </c>
      <c r="E133" t="s">
        <v>17</v>
      </c>
      <c r="F133" t="s">
        <v>29</v>
      </c>
      <c r="G133" s="8" t="s">
        <v>36</v>
      </c>
      <c r="H133" s="5"/>
      <c r="I133" s="7">
        <v>-5.08</v>
      </c>
      <c r="J133" s="7">
        <v>5.08</v>
      </c>
      <c r="K133" s="7">
        <v>0</v>
      </c>
      <c r="L133" s="7">
        <v>12484.99</v>
      </c>
      <c r="M133" t="s">
        <v>54</v>
      </c>
      <c r="N133" t="s">
        <v>55</v>
      </c>
      <c r="O133">
        <v>8</v>
      </c>
      <c r="P133" s="5" t="s">
        <v>439</v>
      </c>
    </row>
    <row r="134" spans="1:16">
      <c r="A134" s="4">
        <v>46193</v>
      </c>
      <c r="B134" t="s">
        <v>280</v>
      </c>
      <c r="C134" s="5" t="s">
        <v>421</v>
      </c>
      <c r="D134" t="s">
        <v>282</v>
      </c>
      <c r="E134" t="s">
        <v>8</v>
      </c>
      <c r="F134" t="s">
        <v>26</v>
      </c>
      <c r="G134" t="s">
        <v>35</v>
      </c>
      <c r="H134" s="5" t="s">
        <v>176</v>
      </c>
      <c r="I134" s="7">
        <v>-29.99</v>
      </c>
      <c r="J134" s="7">
        <v>29.99</v>
      </c>
      <c r="K134" s="7">
        <v>0</v>
      </c>
      <c r="L134" s="7">
        <v>12455</v>
      </c>
      <c r="M134" t="s">
        <v>54</v>
      </c>
      <c r="N134" t="s">
        <v>55</v>
      </c>
      <c r="O134">
        <v>8</v>
      </c>
      <c r="P134" s="5" t="s">
        <v>440</v>
      </c>
    </row>
    <row r="135" spans="1:16">
      <c r="A135" s="4">
        <v>46193</v>
      </c>
      <c r="B135" t="s">
        <v>149</v>
      </c>
      <c r="C135" s="5" t="s">
        <v>424</v>
      </c>
      <c r="D135" t="s">
        <v>150</v>
      </c>
      <c r="E135" t="s">
        <v>3</v>
      </c>
      <c r="F135" t="s">
        <v>26</v>
      </c>
      <c r="G135" s="6" t="s">
        <v>34</v>
      </c>
      <c r="H135" s="5" t="s">
        <v>151</v>
      </c>
      <c r="I135" s="7">
        <v>-10.62</v>
      </c>
      <c r="J135" s="7">
        <v>10.62</v>
      </c>
      <c r="K135" s="7">
        <v>0</v>
      </c>
      <c r="L135" s="7">
        <v>12444.38</v>
      </c>
      <c r="M135" t="s">
        <v>54</v>
      </c>
      <c r="N135" t="s">
        <v>55</v>
      </c>
      <c r="O135">
        <v>8</v>
      </c>
      <c r="P135" s="5" t="s">
        <v>441</v>
      </c>
    </row>
    <row r="136" spans="1:16">
      <c r="A136" s="4">
        <v>46193</v>
      </c>
      <c r="B136" t="s">
        <v>442</v>
      </c>
      <c r="C136" s="5" t="s">
        <v>424</v>
      </c>
      <c r="D136" t="s">
        <v>443</v>
      </c>
      <c r="E136" t="s">
        <v>3</v>
      </c>
      <c r="F136" t="s">
        <v>26</v>
      </c>
      <c r="G136" t="s">
        <v>35</v>
      </c>
      <c r="H136" s="5" t="s">
        <v>444</v>
      </c>
      <c r="I136" s="7">
        <v>-36.85</v>
      </c>
      <c r="J136" s="7">
        <v>36.85</v>
      </c>
      <c r="K136" s="7">
        <v>0</v>
      </c>
      <c r="L136" s="7">
        <v>12407.53</v>
      </c>
      <c r="M136" t="s">
        <v>54</v>
      </c>
      <c r="N136" t="s">
        <v>55</v>
      </c>
      <c r="O136">
        <v>8</v>
      </c>
      <c r="P136" s="5" t="s">
        <v>445</v>
      </c>
    </row>
    <row r="137" spans="1:16">
      <c r="A137" s="4">
        <v>46193</v>
      </c>
      <c r="B137" t="s">
        <v>156</v>
      </c>
      <c r="C137" s="5" t="s">
        <v>424</v>
      </c>
      <c r="D137" t="s">
        <v>157</v>
      </c>
      <c r="E137" t="s">
        <v>3</v>
      </c>
      <c r="F137" t="s">
        <v>26</v>
      </c>
      <c r="G137" t="s">
        <v>33</v>
      </c>
      <c r="H137" s="5" t="s">
        <v>158</v>
      </c>
      <c r="I137" s="7">
        <v>-16.76</v>
      </c>
      <c r="J137" s="7">
        <v>16.76</v>
      </c>
      <c r="K137" s="7">
        <v>0</v>
      </c>
      <c r="L137" s="7">
        <v>12390.77</v>
      </c>
      <c r="M137" t="s">
        <v>54</v>
      </c>
      <c r="N137" t="s">
        <v>55</v>
      </c>
      <c r="O137">
        <v>8</v>
      </c>
      <c r="P137" s="5" t="s">
        <v>446</v>
      </c>
    </row>
    <row r="138" spans="1:16">
      <c r="A138" s="4">
        <v>46193</v>
      </c>
      <c r="B138" t="s">
        <v>447</v>
      </c>
      <c r="C138" s="5"/>
      <c r="D138" t="s">
        <v>448</v>
      </c>
      <c r="E138" t="s">
        <v>17</v>
      </c>
      <c r="F138" t="s">
        <v>29</v>
      </c>
      <c r="G138" s="8" t="s">
        <v>36</v>
      </c>
      <c r="H138" s="5"/>
      <c r="I138" s="7">
        <v>-4.88</v>
      </c>
      <c r="J138" s="7">
        <v>4.88</v>
      </c>
      <c r="K138" s="7">
        <v>0</v>
      </c>
      <c r="L138" s="7">
        <v>12385.89</v>
      </c>
      <c r="M138" t="s">
        <v>54</v>
      </c>
      <c r="N138" t="s">
        <v>55</v>
      </c>
      <c r="O138">
        <v>8</v>
      </c>
      <c r="P138" s="5" t="s">
        <v>449</v>
      </c>
    </row>
    <row r="139" spans="1:16">
      <c r="A139" s="4">
        <v>46193</v>
      </c>
      <c r="B139" t="s">
        <v>450</v>
      </c>
      <c r="C139" s="5"/>
      <c r="D139" t="s">
        <v>451</v>
      </c>
      <c r="E139" t="s">
        <v>17</v>
      </c>
      <c r="F139" t="s">
        <v>29</v>
      </c>
      <c r="G139" s="8" t="s">
        <v>36</v>
      </c>
      <c r="H139" s="5"/>
      <c r="I139" s="7">
        <v>-5.08</v>
      </c>
      <c r="J139" s="7">
        <v>5.08</v>
      </c>
      <c r="K139" s="7">
        <v>0</v>
      </c>
      <c r="L139" s="7">
        <v>12380.81</v>
      </c>
      <c r="M139" t="s">
        <v>54</v>
      </c>
      <c r="N139" t="s">
        <v>55</v>
      </c>
      <c r="O139">
        <v>8</v>
      </c>
      <c r="P139" s="5" t="s">
        <v>452</v>
      </c>
    </row>
    <row r="140" spans="1:16">
      <c r="A140" s="4">
        <v>46193</v>
      </c>
      <c r="B140" t="s">
        <v>453</v>
      </c>
      <c r="C140" s="5"/>
      <c r="D140" t="s">
        <v>454</v>
      </c>
      <c r="E140" t="s">
        <v>17</v>
      </c>
      <c r="F140" t="s">
        <v>29</v>
      </c>
      <c r="G140" s="8" t="s">
        <v>36</v>
      </c>
      <c r="H140" s="5"/>
      <c r="I140" s="7">
        <v>-20</v>
      </c>
      <c r="J140" s="7">
        <v>20</v>
      </c>
      <c r="K140" s="7">
        <v>0</v>
      </c>
      <c r="L140" s="7">
        <v>12360.81</v>
      </c>
      <c r="M140" t="s">
        <v>54</v>
      </c>
      <c r="N140" t="s">
        <v>55</v>
      </c>
      <c r="O140">
        <v>8</v>
      </c>
      <c r="P140" s="5" t="s">
        <v>455</v>
      </c>
    </row>
    <row r="141" spans="1:16">
      <c r="A141" s="4">
        <v>46193</v>
      </c>
      <c r="B141" t="s">
        <v>456</v>
      </c>
      <c r="C141" s="5"/>
      <c r="D141" t="s">
        <v>457</v>
      </c>
      <c r="E141" t="s">
        <v>17</v>
      </c>
      <c r="F141" t="s">
        <v>29</v>
      </c>
      <c r="G141" s="8" t="s">
        <v>36</v>
      </c>
      <c r="H141" s="5"/>
      <c r="I141" s="7">
        <v>-9.65</v>
      </c>
      <c r="J141" s="7">
        <v>9.65</v>
      </c>
      <c r="K141" s="7">
        <v>0</v>
      </c>
      <c r="L141" s="7">
        <v>12351.16</v>
      </c>
      <c r="M141" t="s">
        <v>54</v>
      </c>
      <c r="N141" t="s">
        <v>55</v>
      </c>
      <c r="O141">
        <v>8</v>
      </c>
      <c r="P141" s="5" t="s">
        <v>458</v>
      </c>
    </row>
    <row r="142" spans="1:16">
      <c r="A142" s="4">
        <v>46193</v>
      </c>
      <c r="B142" t="s">
        <v>459</v>
      </c>
      <c r="C142" s="5"/>
      <c r="D142" t="s">
        <v>460</v>
      </c>
      <c r="E142" t="s">
        <v>17</v>
      </c>
      <c r="F142" t="s">
        <v>29</v>
      </c>
      <c r="G142" s="8" t="s">
        <v>36</v>
      </c>
      <c r="H142" s="5"/>
      <c r="I142" s="7">
        <v>-27</v>
      </c>
      <c r="J142" s="7">
        <v>27</v>
      </c>
      <c r="K142" s="7">
        <v>0</v>
      </c>
      <c r="L142" s="7">
        <v>12324.16</v>
      </c>
      <c r="M142" t="s">
        <v>54</v>
      </c>
      <c r="N142" t="s">
        <v>55</v>
      </c>
      <c r="O142">
        <v>8</v>
      </c>
      <c r="P142" s="5" t="s">
        <v>461</v>
      </c>
    </row>
    <row r="143" spans="1:16">
      <c r="A143" s="4">
        <v>46193</v>
      </c>
      <c r="B143" t="s">
        <v>133</v>
      </c>
      <c r="C143" s="5"/>
      <c r="D143" t="s">
        <v>83</v>
      </c>
      <c r="E143" t="s">
        <v>2</v>
      </c>
      <c r="F143" t="s">
        <v>25</v>
      </c>
      <c r="G143" t="s">
        <v>35</v>
      </c>
      <c r="H143" s="5" t="s">
        <v>84</v>
      </c>
      <c r="I143" s="7">
        <v>-18.65</v>
      </c>
      <c r="J143" s="7">
        <v>18.65</v>
      </c>
      <c r="K143" s="7">
        <v>0</v>
      </c>
      <c r="L143" s="7">
        <v>12305.51</v>
      </c>
      <c r="M143" t="s">
        <v>54</v>
      </c>
      <c r="N143" t="s">
        <v>55</v>
      </c>
      <c r="O143">
        <v>8</v>
      </c>
      <c r="P143" s="5" t="s">
        <v>462</v>
      </c>
    </row>
    <row r="144" spans="1:16">
      <c r="A144" s="4">
        <v>46194</v>
      </c>
      <c r="B144" t="s">
        <v>205</v>
      </c>
      <c r="C144" s="5"/>
      <c r="D144" t="s">
        <v>206</v>
      </c>
      <c r="E144" t="s">
        <v>3</v>
      </c>
      <c r="F144" t="s">
        <v>26</v>
      </c>
      <c r="G144" t="s">
        <v>35</v>
      </c>
      <c r="H144" s="5" t="s">
        <v>207</v>
      </c>
      <c r="I144" s="7">
        <v>-27.72</v>
      </c>
      <c r="J144" s="7">
        <v>27.72</v>
      </c>
      <c r="K144" s="7">
        <v>0</v>
      </c>
      <c r="L144" s="7">
        <v>12277.79</v>
      </c>
      <c r="M144" t="s">
        <v>54</v>
      </c>
      <c r="N144" t="s">
        <v>55</v>
      </c>
      <c r="O144">
        <v>8</v>
      </c>
      <c r="P144" s="5" t="s">
        <v>463</v>
      </c>
    </row>
    <row r="145" spans="1:16">
      <c r="A145" s="4">
        <v>46194</v>
      </c>
      <c r="B145" t="s">
        <v>354</v>
      </c>
      <c r="C145" s="5"/>
      <c r="D145" t="s">
        <v>355</v>
      </c>
      <c r="E145" t="s">
        <v>2</v>
      </c>
      <c r="F145" t="s">
        <v>25</v>
      </c>
      <c r="G145" t="s">
        <v>35</v>
      </c>
      <c r="H145" s="5" t="s">
        <v>356</v>
      </c>
      <c r="I145" s="7">
        <v>-4.49</v>
      </c>
      <c r="J145" s="7">
        <v>4.49</v>
      </c>
      <c r="K145" s="7">
        <v>0</v>
      </c>
      <c r="L145" s="7">
        <v>12273.3</v>
      </c>
      <c r="M145" t="s">
        <v>54</v>
      </c>
      <c r="N145" t="s">
        <v>55</v>
      </c>
      <c r="O145">
        <v>8</v>
      </c>
      <c r="P145" s="5" t="s">
        <v>464</v>
      </c>
    </row>
    <row r="146" spans="1:16">
      <c r="A146" s="4">
        <v>46194</v>
      </c>
      <c r="B146" t="s">
        <v>465</v>
      </c>
      <c r="C146" s="5"/>
      <c r="D146" t="s">
        <v>466</v>
      </c>
      <c r="E146" t="s">
        <v>8</v>
      </c>
      <c r="F146" t="s">
        <v>26</v>
      </c>
      <c r="G146" t="s">
        <v>35</v>
      </c>
      <c r="H146" s="5" t="s">
        <v>467</v>
      </c>
      <c r="I146" s="7">
        <v>-3</v>
      </c>
      <c r="J146" s="7">
        <v>3</v>
      </c>
      <c r="K146" s="7">
        <v>0</v>
      </c>
      <c r="L146" s="7">
        <v>12270.3</v>
      </c>
      <c r="M146" t="s">
        <v>54</v>
      </c>
      <c r="N146" t="s">
        <v>55</v>
      </c>
      <c r="O146">
        <v>8</v>
      </c>
      <c r="P146" s="5" t="s">
        <v>468</v>
      </c>
    </row>
    <row r="147" spans="1:16">
      <c r="A147" s="4">
        <v>46195</v>
      </c>
      <c r="B147" t="s">
        <v>128</v>
      </c>
      <c r="C147" s="5"/>
      <c r="D147" t="s">
        <v>129</v>
      </c>
      <c r="E147" t="s">
        <v>3</v>
      </c>
      <c r="F147" t="s">
        <v>26</v>
      </c>
      <c r="G147" t="s">
        <v>35</v>
      </c>
      <c r="H147" s="5" t="s">
        <v>130</v>
      </c>
      <c r="I147" s="7">
        <v>-4.57</v>
      </c>
      <c r="J147" s="7">
        <v>4.57</v>
      </c>
      <c r="K147" s="7">
        <v>0</v>
      </c>
      <c r="L147" s="7">
        <v>12265.73</v>
      </c>
      <c r="M147" t="s">
        <v>54</v>
      </c>
      <c r="N147" t="s">
        <v>55</v>
      </c>
      <c r="O147">
        <v>8</v>
      </c>
      <c r="P147" s="5" t="s">
        <v>469</v>
      </c>
    </row>
    <row r="148" spans="1:16">
      <c r="A148" s="4">
        <v>46195</v>
      </c>
      <c r="B148" t="s">
        <v>470</v>
      </c>
      <c r="C148" s="5"/>
      <c r="D148" t="s">
        <v>471</v>
      </c>
      <c r="E148" t="s">
        <v>17</v>
      </c>
      <c r="F148" t="s">
        <v>29</v>
      </c>
      <c r="G148" s="8" t="s">
        <v>36</v>
      </c>
      <c r="H148" s="5"/>
      <c r="I148" s="7">
        <v>-9.640000000000001</v>
      </c>
      <c r="J148" s="7">
        <v>9.640000000000001</v>
      </c>
      <c r="K148" s="7">
        <v>0</v>
      </c>
      <c r="L148" s="7">
        <v>12256.09</v>
      </c>
      <c r="M148" t="s">
        <v>54</v>
      </c>
      <c r="N148" t="s">
        <v>55</v>
      </c>
      <c r="O148">
        <v>8</v>
      </c>
      <c r="P148" s="5" t="s">
        <v>472</v>
      </c>
    </row>
    <row r="149" spans="1:16">
      <c r="A149" s="4">
        <v>46195</v>
      </c>
      <c r="B149" t="s">
        <v>473</v>
      </c>
      <c r="C149" s="5"/>
      <c r="D149" t="s">
        <v>473</v>
      </c>
      <c r="E149" t="s">
        <v>2</v>
      </c>
      <c r="F149" t="s">
        <v>25</v>
      </c>
      <c r="G149" t="s">
        <v>35</v>
      </c>
      <c r="H149" s="5" t="s">
        <v>474</v>
      </c>
      <c r="I149" s="7">
        <v>-4.03</v>
      </c>
      <c r="J149" s="7">
        <v>4.03</v>
      </c>
      <c r="K149" s="7">
        <v>0</v>
      </c>
      <c r="L149" s="7">
        <v>12252.06</v>
      </c>
      <c r="M149" t="s">
        <v>54</v>
      </c>
      <c r="N149" t="s">
        <v>55</v>
      </c>
      <c r="O149">
        <v>8</v>
      </c>
      <c r="P149" s="5" t="s">
        <v>475</v>
      </c>
    </row>
    <row r="150" spans="1:16">
      <c r="A150" s="4">
        <v>46195</v>
      </c>
      <c r="B150" t="s">
        <v>297</v>
      </c>
      <c r="C150" s="5"/>
      <c r="D150" t="s">
        <v>298</v>
      </c>
      <c r="E150" t="s">
        <v>3</v>
      </c>
      <c r="F150" t="s">
        <v>26</v>
      </c>
      <c r="G150" t="s">
        <v>35</v>
      </c>
      <c r="H150" s="5" t="s">
        <v>299</v>
      </c>
      <c r="I150" s="7">
        <v>-10.1</v>
      </c>
      <c r="J150" s="7">
        <v>10.1</v>
      </c>
      <c r="K150" s="7">
        <v>0</v>
      </c>
      <c r="L150" s="7">
        <v>12241.96</v>
      </c>
      <c r="M150" t="s">
        <v>54</v>
      </c>
      <c r="N150" t="s">
        <v>55</v>
      </c>
      <c r="O150">
        <v>8</v>
      </c>
      <c r="P150" s="5" t="s">
        <v>476</v>
      </c>
    </row>
    <row r="151" spans="1:16">
      <c r="A151" s="4">
        <v>46196</v>
      </c>
      <c r="B151" t="s">
        <v>235</v>
      </c>
      <c r="C151" s="5" t="s">
        <v>477</v>
      </c>
      <c r="D151" t="s">
        <v>100</v>
      </c>
      <c r="E151" t="s">
        <v>5</v>
      </c>
      <c r="F151" t="s">
        <v>25</v>
      </c>
      <c r="G151" t="s">
        <v>33</v>
      </c>
      <c r="H151" s="5" t="s">
        <v>101</v>
      </c>
      <c r="I151" s="7">
        <v>-60</v>
      </c>
      <c r="J151" s="7">
        <v>60</v>
      </c>
      <c r="K151" s="7">
        <v>0</v>
      </c>
      <c r="L151" s="7">
        <v>12181.96</v>
      </c>
      <c r="M151" t="s">
        <v>54</v>
      </c>
      <c r="N151" t="s">
        <v>55</v>
      </c>
      <c r="O151">
        <v>8</v>
      </c>
      <c r="P151" s="5" t="s">
        <v>478</v>
      </c>
    </row>
    <row r="152" spans="1:16">
      <c r="A152" s="4">
        <v>46196</v>
      </c>
      <c r="B152" t="s">
        <v>81</v>
      </c>
      <c r="C152" s="5" t="s">
        <v>479</v>
      </c>
      <c r="D152" t="s">
        <v>83</v>
      </c>
      <c r="E152" t="s">
        <v>2</v>
      </c>
      <c r="F152" t="s">
        <v>25</v>
      </c>
      <c r="G152" t="s">
        <v>35</v>
      </c>
      <c r="H152" s="5" t="s">
        <v>84</v>
      </c>
      <c r="I152" s="7">
        <v>-49.2</v>
      </c>
      <c r="J152" s="7">
        <v>49.2</v>
      </c>
      <c r="K152" s="7">
        <v>0</v>
      </c>
      <c r="L152" s="7">
        <v>12132.76</v>
      </c>
      <c r="M152" t="s">
        <v>54</v>
      </c>
      <c r="N152" t="s">
        <v>55</v>
      </c>
      <c r="O152">
        <v>8</v>
      </c>
      <c r="P152" s="5" t="s">
        <v>480</v>
      </c>
    </row>
    <row r="153" spans="1:16">
      <c r="A153" s="4">
        <v>46196</v>
      </c>
      <c r="B153" t="s">
        <v>481</v>
      </c>
      <c r="C153" s="5" t="s">
        <v>482</v>
      </c>
      <c r="D153" t="s">
        <v>483</v>
      </c>
      <c r="E153" t="s">
        <v>17</v>
      </c>
      <c r="F153" t="s">
        <v>29</v>
      </c>
      <c r="G153" s="8" t="s">
        <v>36</v>
      </c>
      <c r="H153" s="5"/>
      <c r="I153" s="7">
        <v>-23</v>
      </c>
      <c r="J153" s="7">
        <v>23</v>
      </c>
      <c r="K153" s="7">
        <v>0</v>
      </c>
      <c r="L153" s="7">
        <v>12109.76</v>
      </c>
      <c r="M153" t="s">
        <v>54</v>
      </c>
      <c r="N153" t="s">
        <v>55</v>
      </c>
      <c r="O153">
        <v>8</v>
      </c>
      <c r="P153" s="5" t="s">
        <v>484</v>
      </c>
    </row>
    <row r="154" spans="1:16">
      <c r="A154" s="4">
        <v>46196</v>
      </c>
      <c r="B154" t="s">
        <v>109</v>
      </c>
      <c r="C154" s="5" t="s">
        <v>482</v>
      </c>
      <c r="D154" t="s">
        <v>111</v>
      </c>
      <c r="E154" t="s">
        <v>3</v>
      </c>
      <c r="F154" t="s">
        <v>26</v>
      </c>
      <c r="G154" t="s">
        <v>35</v>
      </c>
      <c r="H154" s="5" t="s">
        <v>112</v>
      </c>
      <c r="I154" s="7">
        <v>-31.85</v>
      </c>
      <c r="J154" s="7">
        <v>31.85</v>
      </c>
      <c r="K154" s="7">
        <v>0</v>
      </c>
      <c r="L154" s="7">
        <v>12077.91</v>
      </c>
      <c r="M154" t="s">
        <v>54</v>
      </c>
      <c r="N154" t="s">
        <v>55</v>
      </c>
      <c r="O154">
        <v>8</v>
      </c>
      <c r="P154" s="5" t="s">
        <v>485</v>
      </c>
    </row>
    <row r="155" spans="1:16">
      <c r="A155" s="4">
        <v>46196</v>
      </c>
      <c r="B155" t="s">
        <v>486</v>
      </c>
      <c r="C155" s="5" t="s">
        <v>487</v>
      </c>
      <c r="D155" t="s">
        <v>488</v>
      </c>
      <c r="E155" t="s">
        <v>15</v>
      </c>
      <c r="F155" t="s">
        <v>27</v>
      </c>
      <c r="G155" t="s">
        <v>33</v>
      </c>
      <c r="H155" s="5" t="s">
        <v>489</v>
      </c>
      <c r="I155" s="7">
        <v>-1382</v>
      </c>
      <c r="J155" s="7">
        <v>1382</v>
      </c>
      <c r="K155" s="7">
        <v>0</v>
      </c>
      <c r="L155" s="7">
        <v>10695.91</v>
      </c>
      <c r="M155" t="s">
        <v>54</v>
      </c>
      <c r="N155" t="s">
        <v>55</v>
      </c>
      <c r="O155">
        <v>9</v>
      </c>
      <c r="P155" s="5" t="s">
        <v>490</v>
      </c>
    </row>
    <row r="156" spans="1:16">
      <c r="A156" s="4">
        <v>46196</v>
      </c>
      <c r="B156" t="s">
        <v>491</v>
      </c>
      <c r="C156" s="5" t="s">
        <v>487</v>
      </c>
      <c r="D156" t="s">
        <v>492</v>
      </c>
      <c r="E156" t="s">
        <v>17</v>
      </c>
      <c r="F156" t="s">
        <v>29</v>
      </c>
      <c r="G156" s="8" t="s">
        <v>36</v>
      </c>
      <c r="H156" s="5"/>
      <c r="I156" s="7">
        <v>-4.97</v>
      </c>
      <c r="J156" s="7">
        <v>4.97</v>
      </c>
      <c r="K156" s="7">
        <v>0</v>
      </c>
      <c r="L156" s="7">
        <v>10690.94</v>
      </c>
      <c r="M156" t="s">
        <v>54</v>
      </c>
      <c r="N156" t="s">
        <v>55</v>
      </c>
      <c r="O156">
        <v>9</v>
      </c>
      <c r="P156" s="5" t="s">
        <v>493</v>
      </c>
    </row>
    <row r="157" spans="1:16">
      <c r="A157" s="4">
        <v>46196</v>
      </c>
      <c r="B157" t="s">
        <v>81</v>
      </c>
      <c r="C157" s="5" t="s">
        <v>487</v>
      </c>
      <c r="D157" t="s">
        <v>83</v>
      </c>
      <c r="E157" t="s">
        <v>2</v>
      </c>
      <c r="F157" t="s">
        <v>25</v>
      </c>
      <c r="G157" t="s">
        <v>35</v>
      </c>
      <c r="H157" s="5" t="s">
        <v>84</v>
      </c>
      <c r="I157" s="7">
        <v>-32.51</v>
      </c>
      <c r="J157" s="7">
        <v>32.51</v>
      </c>
      <c r="K157" s="7">
        <v>0</v>
      </c>
      <c r="L157" s="7">
        <v>10658.43</v>
      </c>
      <c r="M157" t="s">
        <v>54</v>
      </c>
      <c r="N157" t="s">
        <v>55</v>
      </c>
      <c r="O157">
        <v>9</v>
      </c>
      <c r="P157" s="5" t="s">
        <v>494</v>
      </c>
    </row>
    <row r="158" spans="1:16">
      <c r="A158" s="4">
        <v>46196</v>
      </c>
      <c r="B158" t="s">
        <v>98</v>
      </c>
      <c r="C158" s="5" t="s">
        <v>495</v>
      </c>
      <c r="D158" t="s">
        <v>100</v>
      </c>
      <c r="E158" t="s">
        <v>5</v>
      </c>
      <c r="F158" t="s">
        <v>25</v>
      </c>
      <c r="G158" t="s">
        <v>33</v>
      </c>
      <c r="H158" s="5" t="s">
        <v>101</v>
      </c>
      <c r="I158" s="7">
        <v>-4.03</v>
      </c>
      <c r="J158" s="7">
        <v>4.03</v>
      </c>
      <c r="K158" s="7">
        <v>0</v>
      </c>
      <c r="L158" s="7">
        <v>10654.4</v>
      </c>
      <c r="M158" t="s">
        <v>54</v>
      </c>
      <c r="N158" t="s">
        <v>55</v>
      </c>
      <c r="O158">
        <v>9</v>
      </c>
      <c r="P158" s="5" t="s">
        <v>496</v>
      </c>
    </row>
    <row r="159" spans="1:16">
      <c r="A159" s="4">
        <v>46196</v>
      </c>
      <c r="B159" t="s">
        <v>497</v>
      </c>
      <c r="C159" s="5" t="s">
        <v>495</v>
      </c>
      <c r="D159" t="s">
        <v>498</v>
      </c>
      <c r="E159" t="s">
        <v>17</v>
      </c>
      <c r="F159" t="s">
        <v>29</v>
      </c>
      <c r="G159" s="8" t="s">
        <v>36</v>
      </c>
      <c r="H159" s="5"/>
      <c r="I159" s="7">
        <v>-18.71</v>
      </c>
      <c r="J159" s="7">
        <v>18.71</v>
      </c>
      <c r="K159" s="7">
        <v>0</v>
      </c>
      <c r="L159" s="7">
        <v>10635.69</v>
      </c>
      <c r="M159" t="s">
        <v>54</v>
      </c>
      <c r="N159" t="s">
        <v>55</v>
      </c>
      <c r="O159">
        <v>9</v>
      </c>
      <c r="P159" s="5" t="s">
        <v>499</v>
      </c>
    </row>
    <row r="160" spans="1:16">
      <c r="A160" s="4">
        <v>46196</v>
      </c>
      <c r="B160" t="s">
        <v>500</v>
      </c>
      <c r="C160" s="5" t="s">
        <v>495</v>
      </c>
      <c r="D160" t="s">
        <v>501</v>
      </c>
      <c r="E160" t="s">
        <v>17</v>
      </c>
      <c r="F160" t="s">
        <v>29</v>
      </c>
      <c r="G160" s="8" t="s">
        <v>36</v>
      </c>
      <c r="H160" s="5"/>
      <c r="I160" s="7">
        <v>-36.2</v>
      </c>
      <c r="J160" s="7">
        <v>36.2</v>
      </c>
      <c r="K160" s="7">
        <v>0</v>
      </c>
      <c r="L160" s="7">
        <v>10599.49</v>
      </c>
      <c r="M160" t="s">
        <v>54</v>
      </c>
      <c r="N160" t="s">
        <v>55</v>
      </c>
      <c r="O160">
        <v>9</v>
      </c>
      <c r="P160" s="5" t="s">
        <v>502</v>
      </c>
    </row>
    <row r="161" spans="1:16">
      <c r="A161" s="4">
        <v>46196</v>
      </c>
      <c r="B161" t="s">
        <v>503</v>
      </c>
      <c r="C161" s="5"/>
      <c r="D161" t="s">
        <v>504</v>
      </c>
      <c r="E161" t="s">
        <v>3</v>
      </c>
      <c r="F161" t="s">
        <v>26</v>
      </c>
      <c r="G161" t="s">
        <v>33</v>
      </c>
      <c r="H161" s="5" t="s">
        <v>505</v>
      </c>
      <c r="I161" s="7">
        <v>-10.95</v>
      </c>
      <c r="J161" s="7">
        <v>10.95</v>
      </c>
      <c r="K161" s="7">
        <v>0</v>
      </c>
      <c r="L161" s="7">
        <v>10588.54</v>
      </c>
      <c r="M161" t="s">
        <v>54</v>
      </c>
      <c r="N161" t="s">
        <v>55</v>
      </c>
      <c r="O161">
        <v>9</v>
      </c>
      <c r="P161" s="5" t="s">
        <v>506</v>
      </c>
    </row>
    <row r="162" spans="1:16">
      <c r="A162" s="4">
        <v>46196</v>
      </c>
      <c r="B162" t="s">
        <v>297</v>
      </c>
      <c r="C162" s="5"/>
      <c r="D162" t="s">
        <v>298</v>
      </c>
      <c r="E162" t="s">
        <v>3</v>
      </c>
      <c r="F162" t="s">
        <v>26</v>
      </c>
      <c r="G162" t="s">
        <v>35</v>
      </c>
      <c r="H162" s="5" t="s">
        <v>299</v>
      </c>
      <c r="I162" s="7">
        <v>-7.58</v>
      </c>
      <c r="J162" s="7">
        <v>7.58</v>
      </c>
      <c r="K162" s="7">
        <v>0</v>
      </c>
      <c r="L162" s="7">
        <v>10580.96</v>
      </c>
      <c r="M162" t="s">
        <v>54</v>
      </c>
      <c r="N162" t="s">
        <v>55</v>
      </c>
      <c r="O162">
        <v>9</v>
      </c>
      <c r="P162" s="5" t="s">
        <v>507</v>
      </c>
    </row>
    <row r="163" spans="1:16">
      <c r="A163" s="4">
        <v>46196</v>
      </c>
      <c r="B163" t="s">
        <v>133</v>
      </c>
      <c r="C163" s="5"/>
      <c r="D163" t="s">
        <v>83</v>
      </c>
      <c r="E163" t="s">
        <v>2</v>
      </c>
      <c r="F163" t="s">
        <v>25</v>
      </c>
      <c r="G163" t="s">
        <v>35</v>
      </c>
      <c r="H163" s="5" t="s">
        <v>84</v>
      </c>
      <c r="I163" s="7">
        <v>-18.39</v>
      </c>
      <c r="J163" s="7">
        <v>18.39</v>
      </c>
      <c r="K163" s="7">
        <v>0</v>
      </c>
      <c r="L163" s="7">
        <v>10562.57</v>
      </c>
      <c r="M163" t="s">
        <v>54</v>
      </c>
      <c r="N163" t="s">
        <v>55</v>
      </c>
      <c r="O163">
        <v>9</v>
      </c>
      <c r="P163" s="5" t="s">
        <v>508</v>
      </c>
    </row>
    <row r="164" spans="1:16">
      <c r="A164" s="4">
        <v>46197</v>
      </c>
      <c r="B164" t="s">
        <v>509</v>
      </c>
      <c r="C164" s="5" t="s">
        <v>510</v>
      </c>
      <c r="D164" t="s">
        <v>511</v>
      </c>
      <c r="E164" t="s">
        <v>14</v>
      </c>
      <c r="F164" t="s">
        <v>27</v>
      </c>
      <c r="G164" s="6" t="s">
        <v>34</v>
      </c>
      <c r="H164" s="5" t="s">
        <v>512</v>
      </c>
      <c r="I164" s="7">
        <v>-0.9</v>
      </c>
      <c r="J164" s="7">
        <v>0.9</v>
      </c>
      <c r="K164" s="7">
        <v>0</v>
      </c>
      <c r="L164" s="7">
        <v>10561.67</v>
      </c>
      <c r="M164" t="s">
        <v>54</v>
      </c>
      <c r="N164" t="s">
        <v>55</v>
      </c>
      <c r="O164">
        <v>9</v>
      </c>
      <c r="P164" s="5" t="s">
        <v>513</v>
      </c>
    </row>
    <row r="165" spans="1:16">
      <c r="A165" s="4">
        <v>46197</v>
      </c>
      <c r="B165" t="s">
        <v>436</v>
      </c>
      <c r="C165" s="5" t="s">
        <v>510</v>
      </c>
      <c r="D165" t="s">
        <v>438</v>
      </c>
      <c r="E165" t="s">
        <v>17</v>
      </c>
      <c r="F165" t="s">
        <v>29</v>
      </c>
      <c r="G165" s="8" t="s">
        <v>36</v>
      </c>
      <c r="H165" s="5"/>
      <c r="I165" s="7">
        <v>-5.08</v>
      </c>
      <c r="J165" s="7">
        <v>5.08</v>
      </c>
      <c r="K165" s="7">
        <v>0</v>
      </c>
      <c r="L165" s="7">
        <v>10556.59</v>
      </c>
      <c r="M165" t="s">
        <v>54</v>
      </c>
      <c r="N165" t="s">
        <v>55</v>
      </c>
      <c r="O165">
        <v>9</v>
      </c>
      <c r="P165" s="5" t="s">
        <v>514</v>
      </c>
    </row>
    <row r="166" spans="1:16">
      <c r="A166" s="4">
        <v>46197</v>
      </c>
      <c r="B166" t="s">
        <v>515</v>
      </c>
      <c r="C166" s="5" t="s">
        <v>487</v>
      </c>
      <c r="D166" t="s">
        <v>516</v>
      </c>
      <c r="E166" t="s">
        <v>17</v>
      </c>
      <c r="F166" t="s">
        <v>29</v>
      </c>
      <c r="G166" s="8" t="s">
        <v>36</v>
      </c>
      <c r="H166" s="5"/>
      <c r="I166" s="7">
        <v>-45.45</v>
      </c>
      <c r="J166" s="7">
        <v>45.45</v>
      </c>
      <c r="K166" s="7">
        <v>0</v>
      </c>
      <c r="L166" s="7">
        <v>10511.14</v>
      </c>
      <c r="M166" t="s">
        <v>54</v>
      </c>
      <c r="N166" t="s">
        <v>55</v>
      </c>
      <c r="O166">
        <v>9</v>
      </c>
      <c r="P166" s="5" t="s">
        <v>517</v>
      </c>
    </row>
    <row r="167" spans="1:16">
      <c r="A167" s="4">
        <v>46197</v>
      </c>
      <c r="B167" t="s">
        <v>518</v>
      </c>
      <c r="C167" s="5" t="s">
        <v>519</v>
      </c>
      <c r="D167" t="s">
        <v>520</v>
      </c>
      <c r="E167" t="s">
        <v>3</v>
      </c>
      <c r="F167" t="s">
        <v>26</v>
      </c>
      <c r="G167" t="s">
        <v>35</v>
      </c>
      <c r="H167" s="5" t="s">
        <v>299</v>
      </c>
      <c r="I167" s="7">
        <v>-10.22</v>
      </c>
      <c r="J167" s="7">
        <v>10.22</v>
      </c>
      <c r="K167" s="7">
        <v>0</v>
      </c>
      <c r="L167" s="7">
        <v>10500.92</v>
      </c>
      <c r="M167" t="s">
        <v>54</v>
      </c>
      <c r="N167" t="s">
        <v>55</v>
      </c>
      <c r="O167">
        <v>9</v>
      </c>
      <c r="P167" s="5" t="s">
        <v>521</v>
      </c>
    </row>
    <row r="168" spans="1:16">
      <c r="A168" s="4">
        <v>46197</v>
      </c>
      <c r="B168" t="s">
        <v>522</v>
      </c>
      <c r="C168" s="5" t="s">
        <v>487</v>
      </c>
      <c r="D168" t="s">
        <v>523</v>
      </c>
      <c r="E168" t="s">
        <v>7</v>
      </c>
      <c r="F168" t="s">
        <v>25</v>
      </c>
      <c r="G168" t="s">
        <v>35</v>
      </c>
      <c r="H168" s="5" t="s">
        <v>524</v>
      </c>
      <c r="I168" s="7">
        <v>-10.47</v>
      </c>
      <c r="J168" s="7">
        <v>10.47</v>
      </c>
      <c r="K168" s="7">
        <v>0</v>
      </c>
      <c r="L168" s="7">
        <v>10490.45</v>
      </c>
      <c r="M168" t="s">
        <v>54</v>
      </c>
      <c r="N168" t="s">
        <v>55</v>
      </c>
      <c r="O168">
        <v>9</v>
      </c>
      <c r="P168" s="5" t="s">
        <v>525</v>
      </c>
    </row>
    <row r="169" spans="1:16">
      <c r="A169" s="4">
        <v>46197</v>
      </c>
      <c r="B169" t="s">
        <v>384</v>
      </c>
      <c r="C169" s="5" t="s">
        <v>519</v>
      </c>
      <c r="D169" t="s">
        <v>385</v>
      </c>
      <c r="E169" t="s">
        <v>3</v>
      </c>
      <c r="F169" t="s">
        <v>26</v>
      </c>
      <c r="G169" t="s">
        <v>35</v>
      </c>
      <c r="H169" s="5" t="s">
        <v>93</v>
      </c>
      <c r="I169" s="7">
        <v>-16.9</v>
      </c>
      <c r="J169" s="7">
        <v>16.9</v>
      </c>
      <c r="K169" s="7">
        <v>0</v>
      </c>
      <c r="L169" s="7">
        <v>10473.55</v>
      </c>
      <c r="M169" t="s">
        <v>54</v>
      </c>
      <c r="N169" t="s">
        <v>55</v>
      </c>
      <c r="O169">
        <v>9</v>
      </c>
      <c r="P169" s="5" t="s">
        <v>526</v>
      </c>
    </row>
    <row r="170" spans="1:16">
      <c r="A170" s="4">
        <v>46197</v>
      </c>
      <c r="B170" t="s">
        <v>527</v>
      </c>
      <c r="C170" s="5" t="s">
        <v>487</v>
      </c>
      <c r="D170" t="s">
        <v>528</v>
      </c>
      <c r="E170" t="s">
        <v>8</v>
      </c>
      <c r="F170" t="s">
        <v>26</v>
      </c>
      <c r="G170" t="s">
        <v>33</v>
      </c>
      <c r="H170" s="5" t="s">
        <v>529</v>
      </c>
      <c r="I170" s="7">
        <v>-150</v>
      </c>
      <c r="J170" s="7">
        <v>150</v>
      </c>
      <c r="K170" s="7">
        <v>0</v>
      </c>
      <c r="L170" s="7">
        <v>10323.55</v>
      </c>
      <c r="M170" t="s">
        <v>54</v>
      </c>
      <c r="N170" t="s">
        <v>55</v>
      </c>
      <c r="O170">
        <v>9</v>
      </c>
      <c r="P170" s="5" t="s">
        <v>530</v>
      </c>
    </row>
    <row r="171" spans="1:16">
      <c r="A171" s="4">
        <v>46197</v>
      </c>
      <c r="B171" t="s">
        <v>531</v>
      </c>
      <c r="C171" s="5"/>
      <c r="D171" t="s">
        <v>532</v>
      </c>
      <c r="E171" t="s">
        <v>3</v>
      </c>
      <c r="F171" t="s">
        <v>26</v>
      </c>
      <c r="G171" t="s">
        <v>35</v>
      </c>
      <c r="H171" s="5" t="s">
        <v>75</v>
      </c>
      <c r="I171" s="7">
        <v>-9.140000000000001</v>
      </c>
      <c r="J171" s="7">
        <v>9.140000000000001</v>
      </c>
      <c r="K171" s="7">
        <v>0</v>
      </c>
      <c r="L171" s="7">
        <v>10314.41</v>
      </c>
      <c r="M171" t="s">
        <v>54</v>
      </c>
      <c r="N171" t="s">
        <v>55</v>
      </c>
      <c r="O171">
        <v>9</v>
      </c>
      <c r="P171" s="5" t="s">
        <v>533</v>
      </c>
    </row>
    <row r="172" spans="1:16">
      <c r="A172" s="4">
        <v>46197</v>
      </c>
      <c r="B172" t="s">
        <v>534</v>
      </c>
      <c r="C172" s="5"/>
      <c r="D172" t="s">
        <v>535</v>
      </c>
      <c r="E172" t="s">
        <v>3</v>
      </c>
      <c r="F172" t="s">
        <v>26</v>
      </c>
      <c r="G172" t="s">
        <v>35</v>
      </c>
      <c r="H172" s="5" t="s">
        <v>316</v>
      </c>
      <c r="I172" s="7">
        <v>-21.27</v>
      </c>
      <c r="J172" s="7">
        <v>21.27</v>
      </c>
      <c r="K172" s="7">
        <v>0</v>
      </c>
      <c r="L172" s="7">
        <v>10293.14</v>
      </c>
      <c r="M172" t="s">
        <v>54</v>
      </c>
      <c r="N172" t="s">
        <v>55</v>
      </c>
      <c r="O172">
        <v>9</v>
      </c>
      <c r="P172" s="5" t="s">
        <v>536</v>
      </c>
    </row>
    <row r="173" spans="1:16">
      <c r="A173" s="4">
        <v>46197</v>
      </c>
      <c r="B173" t="s">
        <v>537</v>
      </c>
      <c r="C173" s="5"/>
      <c r="D173" t="s">
        <v>538</v>
      </c>
      <c r="E173" t="s">
        <v>3</v>
      </c>
      <c r="F173" t="s">
        <v>26</v>
      </c>
      <c r="G173" t="s">
        <v>35</v>
      </c>
      <c r="H173" s="5" t="s">
        <v>539</v>
      </c>
      <c r="I173" s="7">
        <v>-5.08</v>
      </c>
      <c r="J173" s="7">
        <v>5.08</v>
      </c>
      <c r="K173" s="7">
        <v>0</v>
      </c>
      <c r="L173" s="7">
        <v>10288.06</v>
      </c>
      <c r="M173" t="s">
        <v>54</v>
      </c>
      <c r="N173" t="s">
        <v>55</v>
      </c>
      <c r="O173">
        <v>10</v>
      </c>
      <c r="P173" s="5" t="s">
        <v>540</v>
      </c>
    </row>
    <row r="174" spans="1:16">
      <c r="A174" s="4">
        <v>46197</v>
      </c>
      <c r="B174" t="s">
        <v>541</v>
      </c>
      <c r="C174" s="5"/>
      <c r="D174" t="s">
        <v>542</v>
      </c>
      <c r="E174" t="s">
        <v>17</v>
      </c>
      <c r="F174" t="s">
        <v>29</v>
      </c>
      <c r="G174" s="8" t="s">
        <v>36</v>
      </c>
      <c r="H174" s="5"/>
      <c r="I174" s="7">
        <v>-19.06</v>
      </c>
      <c r="J174" s="7">
        <v>19.06</v>
      </c>
      <c r="K174" s="7">
        <v>0</v>
      </c>
      <c r="L174" s="7">
        <v>10269</v>
      </c>
      <c r="M174" t="s">
        <v>54</v>
      </c>
      <c r="N174" t="s">
        <v>55</v>
      </c>
      <c r="O174">
        <v>10</v>
      </c>
      <c r="P174" s="5" t="s">
        <v>543</v>
      </c>
    </row>
    <row r="175" spans="1:16">
      <c r="A175" s="4">
        <v>46197</v>
      </c>
      <c r="B175" t="s">
        <v>544</v>
      </c>
      <c r="C175" s="5"/>
      <c r="D175" t="s">
        <v>545</v>
      </c>
      <c r="E175" t="s">
        <v>3</v>
      </c>
      <c r="F175" t="s">
        <v>26</v>
      </c>
      <c r="G175" t="s">
        <v>33</v>
      </c>
      <c r="H175" s="5" t="s">
        <v>546</v>
      </c>
      <c r="I175" s="7">
        <v>-11.24</v>
      </c>
      <c r="J175" s="7">
        <v>11.24</v>
      </c>
      <c r="K175" s="7">
        <v>0</v>
      </c>
      <c r="L175" s="7">
        <v>10257.76</v>
      </c>
      <c r="M175" t="s">
        <v>54</v>
      </c>
      <c r="N175" t="s">
        <v>55</v>
      </c>
      <c r="O175">
        <v>10</v>
      </c>
      <c r="P175" s="5" t="s">
        <v>547</v>
      </c>
    </row>
    <row r="176" spans="1:16">
      <c r="A176" s="4">
        <v>46197</v>
      </c>
      <c r="B176" t="s">
        <v>548</v>
      </c>
      <c r="C176" s="5"/>
      <c r="D176" t="s">
        <v>549</v>
      </c>
      <c r="E176" t="s">
        <v>8</v>
      </c>
      <c r="F176" t="s">
        <v>26</v>
      </c>
      <c r="G176" t="s">
        <v>35</v>
      </c>
      <c r="H176" s="5" t="s">
        <v>550</v>
      </c>
      <c r="I176" s="7">
        <v>-48</v>
      </c>
      <c r="J176" s="7">
        <v>48</v>
      </c>
      <c r="K176" s="7">
        <v>0</v>
      </c>
      <c r="L176" s="7">
        <v>10209.76</v>
      </c>
      <c r="M176" t="s">
        <v>54</v>
      </c>
      <c r="N176" t="s">
        <v>55</v>
      </c>
      <c r="O176">
        <v>10</v>
      </c>
      <c r="P176" s="5" t="s">
        <v>551</v>
      </c>
    </row>
    <row r="177" spans="1:16">
      <c r="A177" s="4">
        <v>46197</v>
      </c>
      <c r="B177" t="s">
        <v>552</v>
      </c>
      <c r="C177" s="5"/>
      <c r="D177" t="s">
        <v>553</v>
      </c>
      <c r="E177" t="s">
        <v>17</v>
      </c>
      <c r="F177" t="s">
        <v>29</v>
      </c>
      <c r="G177" s="8" t="s">
        <v>36</v>
      </c>
      <c r="H177" s="5"/>
      <c r="I177" s="7">
        <v>-8.67</v>
      </c>
      <c r="J177" s="7">
        <v>8.67</v>
      </c>
      <c r="K177" s="7">
        <v>0</v>
      </c>
      <c r="L177" s="7">
        <v>10201.09</v>
      </c>
      <c r="M177" t="s">
        <v>54</v>
      </c>
      <c r="N177" t="s">
        <v>55</v>
      </c>
      <c r="O177">
        <v>10</v>
      </c>
      <c r="P177" s="5" t="s">
        <v>554</v>
      </c>
    </row>
    <row r="178" spans="1:16">
      <c r="A178" s="4">
        <v>46197</v>
      </c>
      <c r="B178" t="s">
        <v>138</v>
      </c>
      <c r="C178" s="5" t="s">
        <v>555</v>
      </c>
      <c r="D178" t="s">
        <v>138</v>
      </c>
      <c r="E178" t="s">
        <v>6</v>
      </c>
      <c r="F178" t="s">
        <v>26</v>
      </c>
      <c r="G178" t="s">
        <v>35</v>
      </c>
      <c r="H178" s="5" t="s">
        <v>140</v>
      </c>
      <c r="I178" s="7">
        <v>-68</v>
      </c>
      <c r="J178" s="7">
        <v>68</v>
      </c>
      <c r="K178" s="7">
        <v>0</v>
      </c>
      <c r="L178" s="7">
        <v>10133.09</v>
      </c>
      <c r="M178" t="s">
        <v>54</v>
      </c>
      <c r="N178" t="s">
        <v>55</v>
      </c>
      <c r="O178">
        <v>10</v>
      </c>
      <c r="P178" s="5" t="s">
        <v>556</v>
      </c>
    </row>
    <row r="179" spans="1:16">
      <c r="A179" s="4">
        <v>46198</v>
      </c>
      <c r="B179" t="s">
        <v>557</v>
      </c>
      <c r="C179" s="5" t="s">
        <v>558</v>
      </c>
      <c r="D179" t="s">
        <v>559</v>
      </c>
      <c r="E179" t="s">
        <v>12</v>
      </c>
      <c r="F179" t="s">
        <v>26</v>
      </c>
      <c r="G179" s="6" t="s">
        <v>34</v>
      </c>
      <c r="H179" s="5" t="s">
        <v>560</v>
      </c>
      <c r="I179" s="7">
        <v>-33.99</v>
      </c>
      <c r="J179" s="7">
        <v>33.99</v>
      </c>
      <c r="K179" s="7">
        <v>0</v>
      </c>
      <c r="L179" s="7">
        <v>10099.1</v>
      </c>
      <c r="M179" t="s">
        <v>54</v>
      </c>
      <c r="N179" t="s">
        <v>55</v>
      </c>
      <c r="O179">
        <v>10</v>
      </c>
      <c r="P179" s="5" t="s">
        <v>561</v>
      </c>
    </row>
    <row r="180" spans="1:16">
      <c r="A180" s="4">
        <v>46198</v>
      </c>
      <c r="B180" t="s">
        <v>280</v>
      </c>
      <c r="C180" s="5" t="s">
        <v>562</v>
      </c>
      <c r="D180" t="s">
        <v>282</v>
      </c>
      <c r="E180" t="s">
        <v>8</v>
      </c>
      <c r="F180" t="s">
        <v>26</v>
      </c>
      <c r="G180" t="s">
        <v>35</v>
      </c>
      <c r="H180" s="5" t="s">
        <v>176</v>
      </c>
      <c r="I180" s="7">
        <v>-15.99</v>
      </c>
      <c r="J180" s="7">
        <v>15.99</v>
      </c>
      <c r="K180" s="7">
        <v>0</v>
      </c>
      <c r="L180" s="7">
        <v>10083.11</v>
      </c>
      <c r="M180" t="s">
        <v>54</v>
      </c>
      <c r="N180" t="s">
        <v>55</v>
      </c>
      <c r="O180">
        <v>10</v>
      </c>
      <c r="P180" s="5" t="s">
        <v>563</v>
      </c>
    </row>
    <row r="181" spans="1:16">
      <c r="A181" s="4">
        <v>46198</v>
      </c>
      <c r="B181" t="s">
        <v>564</v>
      </c>
      <c r="C181" s="5" t="s">
        <v>565</v>
      </c>
      <c r="D181" t="s">
        <v>566</v>
      </c>
      <c r="E181" t="s">
        <v>5</v>
      </c>
      <c r="F181" t="s">
        <v>25</v>
      </c>
      <c r="G181" t="s">
        <v>35</v>
      </c>
      <c r="H181" s="5" t="s">
        <v>567</v>
      </c>
      <c r="I181" s="7">
        <v>-77.83</v>
      </c>
      <c r="J181" s="7">
        <v>77.83</v>
      </c>
      <c r="K181" s="7">
        <v>0</v>
      </c>
      <c r="L181" s="7">
        <v>10005.28</v>
      </c>
      <c r="M181" t="s">
        <v>54</v>
      </c>
      <c r="N181" t="s">
        <v>55</v>
      </c>
      <c r="O181">
        <v>10</v>
      </c>
      <c r="P181" s="5" t="s">
        <v>568</v>
      </c>
    </row>
    <row r="182" spans="1:16">
      <c r="A182" s="4">
        <v>46198</v>
      </c>
      <c r="B182" t="s">
        <v>564</v>
      </c>
      <c r="C182" s="5" t="s">
        <v>565</v>
      </c>
      <c r="D182" t="s">
        <v>566</v>
      </c>
      <c r="E182" t="s">
        <v>5</v>
      </c>
      <c r="F182" t="s">
        <v>25</v>
      </c>
      <c r="G182" t="s">
        <v>35</v>
      </c>
      <c r="H182" s="5" t="s">
        <v>567</v>
      </c>
      <c r="I182" s="7">
        <v>-5</v>
      </c>
      <c r="J182" s="7">
        <v>5</v>
      </c>
      <c r="K182" s="7">
        <v>0</v>
      </c>
      <c r="L182" s="7">
        <v>10000.28</v>
      </c>
      <c r="M182" t="s">
        <v>54</v>
      </c>
      <c r="N182" t="s">
        <v>55</v>
      </c>
      <c r="O182">
        <v>10</v>
      </c>
      <c r="P182" s="5" t="s">
        <v>569</v>
      </c>
    </row>
    <row r="183" spans="1:16">
      <c r="A183" s="4">
        <v>46198</v>
      </c>
      <c r="B183" t="s">
        <v>564</v>
      </c>
      <c r="C183" s="5" t="s">
        <v>565</v>
      </c>
      <c r="D183" t="s">
        <v>566</v>
      </c>
      <c r="E183" t="s">
        <v>5</v>
      </c>
      <c r="F183" t="s">
        <v>25</v>
      </c>
      <c r="G183" t="s">
        <v>35</v>
      </c>
      <c r="H183" s="5" t="s">
        <v>567</v>
      </c>
      <c r="I183" s="7">
        <v>-62.35</v>
      </c>
      <c r="J183" s="7">
        <v>62.35</v>
      </c>
      <c r="K183" s="7">
        <v>0</v>
      </c>
      <c r="L183" s="7">
        <v>9937.93</v>
      </c>
      <c r="M183" t="s">
        <v>54</v>
      </c>
      <c r="N183" t="s">
        <v>55</v>
      </c>
      <c r="O183">
        <v>10</v>
      </c>
      <c r="P183" s="5" t="s">
        <v>570</v>
      </c>
    </row>
    <row r="184" spans="1:16">
      <c r="A184" s="4">
        <v>46198</v>
      </c>
      <c r="B184" t="s">
        <v>571</v>
      </c>
      <c r="C184" s="5" t="s">
        <v>565</v>
      </c>
      <c r="D184" t="s">
        <v>545</v>
      </c>
      <c r="E184" t="s">
        <v>3</v>
      </c>
      <c r="F184" t="s">
        <v>26</v>
      </c>
      <c r="G184" t="s">
        <v>33</v>
      </c>
      <c r="H184" s="5" t="s">
        <v>546</v>
      </c>
      <c r="I184" s="7">
        <v>-23.9</v>
      </c>
      <c r="J184" s="7">
        <v>23.9</v>
      </c>
      <c r="K184" s="7">
        <v>0</v>
      </c>
      <c r="L184" s="7">
        <v>9914.030000000001</v>
      </c>
      <c r="M184" t="s">
        <v>54</v>
      </c>
      <c r="N184" t="s">
        <v>55</v>
      </c>
      <c r="O184">
        <v>10</v>
      </c>
      <c r="P184" s="5" t="s">
        <v>572</v>
      </c>
    </row>
    <row r="185" spans="1:16">
      <c r="A185" s="4">
        <v>46198</v>
      </c>
      <c r="B185" t="s">
        <v>573</v>
      </c>
      <c r="C185" s="5" t="s">
        <v>565</v>
      </c>
      <c r="D185" t="s">
        <v>574</v>
      </c>
      <c r="E185" t="s">
        <v>17</v>
      </c>
      <c r="F185" t="s">
        <v>29</v>
      </c>
      <c r="G185" s="8" t="s">
        <v>36</v>
      </c>
      <c r="H185" s="5"/>
      <c r="I185" s="7">
        <v>-7.1</v>
      </c>
      <c r="J185" s="7">
        <v>7.1</v>
      </c>
      <c r="K185" s="7">
        <v>0</v>
      </c>
      <c r="L185" s="7">
        <v>9906.93</v>
      </c>
      <c r="M185" t="s">
        <v>54</v>
      </c>
      <c r="N185" t="s">
        <v>55</v>
      </c>
      <c r="O185">
        <v>10</v>
      </c>
      <c r="P185" s="5" t="s">
        <v>575</v>
      </c>
    </row>
    <row r="186" spans="1:16">
      <c r="A186" s="4">
        <v>46198</v>
      </c>
      <c r="B186" t="s">
        <v>576</v>
      </c>
      <c r="C186" s="5" t="s">
        <v>565</v>
      </c>
      <c r="D186" t="s">
        <v>577</v>
      </c>
      <c r="E186" t="s">
        <v>3</v>
      </c>
      <c r="F186" t="s">
        <v>26</v>
      </c>
      <c r="G186" t="s">
        <v>33</v>
      </c>
      <c r="H186" s="5" t="s">
        <v>578</v>
      </c>
      <c r="I186" s="7">
        <v>-38.65</v>
      </c>
      <c r="J186" s="7">
        <v>38.65</v>
      </c>
      <c r="K186" s="7">
        <v>0</v>
      </c>
      <c r="L186" s="7">
        <v>9868.280000000001</v>
      </c>
      <c r="M186" t="s">
        <v>54</v>
      </c>
      <c r="N186" t="s">
        <v>55</v>
      </c>
      <c r="O186">
        <v>10</v>
      </c>
      <c r="P186" s="5" t="s">
        <v>579</v>
      </c>
    </row>
    <row r="187" spans="1:16">
      <c r="A187" s="4">
        <v>46198</v>
      </c>
      <c r="B187" t="s">
        <v>580</v>
      </c>
      <c r="C187" s="5" t="s">
        <v>565</v>
      </c>
      <c r="D187" t="s">
        <v>581</v>
      </c>
      <c r="E187" t="s">
        <v>15</v>
      </c>
      <c r="F187" t="s">
        <v>27</v>
      </c>
      <c r="G187" t="s">
        <v>35</v>
      </c>
      <c r="H187" s="5" t="s">
        <v>582</v>
      </c>
      <c r="I187" s="7">
        <v>-478.18</v>
      </c>
      <c r="J187" s="7">
        <v>478.18</v>
      </c>
      <c r="K187" s="7">
        <v>0</v>
      </c>
      <c r="L187" s="7">
        <v>9390.1</v>
      </c>
      <c r="M187" t="s">
        <v>54</v>
      </c>
      <c r="N187" t="s">
        <v>55</v>
      </c>
      <c r="O187">
        <v>10</v>
      </c>
      <c r="P187" s="5" t="s">
        <v>583</v>
      </c>
    </row>
    <row r="188" spans="1:16">
      <c r="A188" s="4">
        <v>46198</v>
      </c>
      <c r="B188" t="s">
        <v>531</v>
      </c>
      <c r="C188" s="5"/>
      <c r="D188" t="s">
        <v>532</v>
      </c>
      <c r="E188" t="s">
        <v>3</v>
      </c>
      <c r="F188" t="s">
        <v>26</v>
      </c>
      <c r="G188" t="s">
        <v>35</v>
      </c>
      <c r="H188" s="5" t="s">
        <v>75</v>
      </c>
      <c r="I188" s="7">
        <v>-18.8</v>
      </c>
      <c r="J188" s="7">
        <v>18.8</v>
      </c>
      <c r="K188" s="7">
        <v>0</v>
      </c>
      <c r="L188" s="7">
        <v>9371.299999999999</v>
      </c>
      <c r="M188" t="s">
        <v>54</v>
      </c>
      <c r="N188" t="s">
        <v>55</v>
      </c>
      <c r="O188">
        <v>10</v>
      </c>
      <c r="P188" s="5" t="s">
        <v>584</v>
      </c>
    </row>
    <row r="189" spans="1:16">
      <c r="A189" s="4">
        <v>46198</v>
      </c>
      <c r="B189" t="s">
        <v>297</v>
      </c>
      <c r="C189" s="5"/>
      <c r="D189" t="s">
        <v>298</v>
      </c>
      <c r="E189" t="s">
        <v>3</v>
      </c>
      <c r="F189" t="s">
        <v>26</v>
      </c>
      <c r="G189" t="s">
        <v>35</v>
      </c>
      <c r="H189" s="5" t="s">
        <v>299</v>
      </c>
      <c r="I189" s="7">
        <v>-15.35</v>
      </c>
      <c r="J189" s="7">
        <v>15.35</v>
      </c>
      <c r="K189" s="7">
        <v>0</v>
      </c>
      <c r="L189" s="7">
        <v>9355.950000000001</v>
      </c>
      <c r="M189" t="s">
        <v>54</v>
      </c>
      <c r="N189" t="s">
        <v>55</v>
      </c>
      <c r="O189">
        <v>10</v>
      </c>
      <c r="P189" s="5" t="s">
        <v>585</v>
      </c>
    </row>
    <row r="190" spans="1:16">
      <c r="A190" s="4">
        <v>46198</v>
      </c>
      <c r="B190" t="s">
        <v>531</v>
      </c>
      <c r="C190" s="5"/>
      <c r="D190" t="s">
        <v>532</v>
      </c>
      <c r="E190" t="s">
        <v>3</v>
      </c>
      <c r="F190" t="s">
        <v>26</v>
      </c>
      <c r="G190" t="s">
        <v>35</v>
      </c>
      <c r="H190" s="5" t="s">
        <v>75</v>
      </c>
      <c r="I190" s="7">
        <v>-9.140000000000001</v>
      </c>
      <c r="J190" s="7">
        <v>9.140000000000001</v>
      </c>
      <c r="K190" s="7">
        <v>0</v>
      </c>
      <c r="L190" s="7">
        <v>9346.809999999999</v>
      </c>
      <c r="M190" t="s">
        <v>54</v>
      </c>
      <c r="N190" t="s">
        <v>55</v>
      </c>
      <c r="O190">
        <v>10</v>
      </c>
      <c r="P190" s="5" t="s">
        <v>586</v>
      </c>
    </row>
    <row r="191" spans="1:16">
      <c r="A191" s="4">
        <v>46198</v>
      </c>
      <c r="B191" t="s">
        <v>587</v>
      </c>
      <c r="C191" s="5"/>
      <c r="D191" t="s">
        <v>588</v>
      </c>
      <c r="E191" t="s">
        <v>17</v>
      </c>
      <c r="F191" t="s">
        <v>29</v>
      </c>
      <c r="G191" s="8" t="s">
        <v>36</v>
      </c>
      <c r="H191" s="5"/>
      <c r="I191" s="7">
        <v>-11.38</v>
      </c>
      <c r="J191" s="7">
        <v>11.38</v>
      </c>
      <c r="K191" s="7">
        <v>0</v>
      </c>
      <c r="L191" s="7">
        <v>9335.43</v>
      </c>
      <c r="M191" t="s">
        <v>54</v>
      </c>
      <c r="N191" t="s">
        <v>55</v>
      </c>
      <c r="O191">
        <v>10</v>
      </c>
      <c r="P191" s="5" t="s">
        <v>589</v>
      </c>
    </row>
    <row r="192" spans="1:16">
      <c r="A192" s="4">
        <v>46198</v>
      </c>
      <c r="B192" t="s">
        <v>590</v>
      </c>
      <c r="C192" s="5"/>
      <c r="D192" t="s">
        <v>591</v>
      </c>
      <c r="E192" t="s">
        <v>5</v>
      </c>
      <c r="F192" t="s">
        <v>25</v>
      </c>
      <c r="G192" t="s">
        <v>33</v>
      </c>
      <c r="H192" s="5" t="s">
        <v>592</v>
      </c>
      <c r="I192" s="7">
        <v>-122.8</v>
      </c>
      <c r="J192" s="7">
        <v>122.8</v>
      </c>
      <c r="K192" s="7">
        <v>0</v>
      </c>
      <c r="L192" s="7">
        <v>9212.629999999999</v>
      </c>
      <c r="M192" t="s">
        <v>54</v>
      </c>
      <c r="N192" t="s">
        <v>55</v>
      </c>
      <c r="O192">
        <v>10</v>
      </c>
      <c r="P192" s="5" t="s">
        <v>593</v>
      </c>
    </row>
    <row r="193" spans="1:16">
      <c r="A193" s="4">
        <v>46198</v>
      </c>
      <c r="B193" t="s">
        <v>318</v>
      </c>
      <c r="C193" s="5" t="s">
        <v>594</v>
      </c>
      <c r="D193" t="s">
        <v>320</v>
      </c>
      <c r="E193" t="s">
        <v>6</v>
      </c>
      <c r="F193" t="s">
        <v>26</v>
      </c>
      <c r="G193" t="s">
        <v>35</v>
      </c>
      <c r="H193" s="5" t="s">
        <v>321</v>
      </c>
      <c r="I193" s="7">
        <v>-30.9</v>
      </c>
      <c r="J193" s="7">
        <v>30.9</v>
      </c>
      <c r="K193" s="7">
        <v>0</v>
      </c>
      <c r="L193" s="7">
        <v>9181.73</v>
      </c>
      <c r="M193" t="s">
        <v>54</v>
      </c>
      <c r="N193" t="s">
        <v>55</v>
      </c>
      <c r="O193">
        <v>10</v>
      </c>
      <c r="P193" s="5" t="s">
        <v>595</v>
      </c>
    </row>
    <row r="194" spans="1:16">
      <c r="A194" s="4">
        <v>46198</v>
      </c>
      <c r="B194" t="s">
        <v>318</v>
      </c>
      <c r="C194" s="5" t="s">
        <v>596</v>
      </c>
      <c r="D194" t="s">
        <v>320</v>
      </c>
      <c r="E194" t="s">
        <v>6</v>
      </c>
      <c r="F194" t="s">
        <v>26</v>
      </c>
      <c r="G194" t="s">
        <v>35</v>
      </c>
      <c r="H194" s="5" t="s">
        <v>321</v>
      </c>
      <c r="I194" s="7">
        <v>-22.9</v>
      </c>
      <c r="J194" s="7">
        <v>22.9</v>
      </c>
      <c r="K194" s="7">
        <v>0</v>
      </c>
      <c r="L194" s="7">
        <v>9158.83</v>
      </c>
      <c r="M194" t="s">
        <v>54</v>
      </c>
      <c r="N194" t="s">
        <v>55</v>
      </c>
      <c r="O194">
        <v>11</v>
      </c>
      <c r="P194" s="5" t="s">
        <v>597</v>
      </c>
    </row>
    <row r="195" spans="1:16">
      <c r="A195" s="4">
        <v>46199</v>
      </c>
      <c r="B195" t="s">
        <v>280</v>
      </c>
      <c r="C195" s="5" t="s">
        <v>598</v>
      </c>
      <c r="D195" t="s">
        <v>282</v>
      </c>
      <c r="E195" t="s">
        <v>8</v>
      </c>
      <c r="F195" t="s">
        <v>26</v>
      </c>
      <c r="G195" t="s">
        <v>35</v>
      </c>
      <c r="H195" s="5" t="s">
        <v>176</v>
      </c>
      <c r="I195" s="7">
        <v>-34.05</v>
      </c>
      <c r="J195" s="7">
        <v>34.05</v>
      </c>
      <c r="K195" s="7">
        <v>0</v>
      </c>
      <c r="L195" s="7">
        <v>9124.780000000001</v>
      </c>
      <c r="M195" t="s">
        <v>54</v>
      </c>
      <c r="N195" t="s">
        <v>55</v>
      </c>
      <c r="O195">
        <v>11</v>
      </c>
      <c r="P195" s="5" t="s">
        <v>599</v>
      </c>
    </row>
    <row r="196" spans="1:16">
      <c r="A196" s="4">
        <v>46199</v>
      </c>
      <c r="B196" t="s">
        <v>600</v>
      </c>
      <c r="C196" s="5" t="s">
        <v>565</v>
      </c>
      <c r="D196" t="s">
        <v>601</v>
      </c>
      <c r="E196" t="s">
        <v>17</v>
      </c>
      <c r="F196" t="s">
        <v>29</v>
      </c>
      <c r="G196" s="8" t="s">
        <v>36</v>
      </c>
      <c r="H196" s="5"/>
      <c r="I196" s="7">
        <v>-6.58</v>
      </c>
      <c r="J196" s="7">
        <v>6.58</v>
      </c>
      <c r="K196" s="7">
        <v>0</v>
      </c>
      <c r="L196" s="7">
        <v>9118.200000000001</v>
      </c>
      <c r="M196" t="s">
        <v>54</v>
      </c>
      <c r="N196" t="s">
        <v>55</v>
      </c>
      <c r="O196">
        <v>11</v>
      </c>
      <c r="P196" s="5" t="s">
        <v>602</v>
      </c>
    </row>
    <row r="197" spans="1:16">
      <c r="A197" s="4">
        <v>46199</v>
      </c>
      <c r="B197" t="s">
        <v>603</v>
      </c>
      <c r="C197" s="5" t="s">
        <v>565</v>
      </c>
      <c r="D197" t="s">
        <v>604</v>
      </c>
      <c r="E197" t="s">
        <v>7</v>
      </c>
      <c r="F197" t="s">
        <v>25</v>
      </c>
      <c r="G197" t="s">
        <v>33</v>
      </c>
      <c r="H197" s="5" t="s">
        <v>605</v>
      </c>
      <c r="I197" s="7">
        <v>-33.69</v>
      </c>
      <c r="J197" s="7">
        <v>33.69</v>
      </c>
      <c r="K197" s="7">
        <v>0</v>
      </c>
      <c r="L197" s="7">
        <v>9084.51</v>
      </c>
      <c r="M197" t="s">
        <v>54</v>
      </c>
      <c r="N197" t="s">
        <v>55</v>
      </c>
      <c r="O197">
        <v>11</v>
      </c>
      <c r="P197" s="5" t="s">
        <v>606</v>
      </c>
    </row>
    <row r="198" spans="1:16">
      <c r="A198" s="4">
        <v>46199</v>
      </c>
      <c r="B198" t="s">
        <v>607</v>
      </c>
      <c r="C198" s="5" t="s">
        <v>608</v>
      </c>
      <c r="D198" t="s">
        <v>609</v>
      </c>
      <c r="E198" t="s">
        <v>17</v>
      </c>
      <c r="F198" t="s">
        <v>29</v>
      </c>
      <c r="G198" s="8" t="s">
        <v>36</v>
      </c>
      <c r="H198" s="5"/>
      <c r="I198" s="7">
        <v>-3.4</v>
      </c>
      <c r="J198" s="7">
        <v>3.4</v>
      </c>
      <c r="K198" s="7">
        <v>0</v>
      </c>
      <c r="L198" s="7">
        <v>9081.110000000001</v>
      </c>
      <c r="M198" t="s">
        <v>54</v>
      </c>
      <c r="N198" t="s">
        <v>55</v>
      </c>
      <c r="O198">
        <v>11</v>
      </c>
      <c r="P198" s="5" t="s">
        <v>610</v>
      </c>
    </row>
    <row r="199" spans="1:16">
      <c r="A199" s="4">
        <v>46199</v>
      </c>
      <c r="B199" t="s">
        <v>564</v>
      </c>
      <c r="C199" s="5" t="s">
        <v>608</v>
      </c>
      <c r="D199" t="s">
        <v>566</v>
      </c>
      <c r="E199" t="s">
        <v>5</v>
      </c>
      <c r="F199" t="s">
        <v>25</v>
      </c>
      <c r="G199" t="s">
        <v>35</v>
      </c>
      <c r="H199" s="5" t="s">
        <v>567</v>
      </c>
      <c r="I199" s="7">
        <v>-12.82</v>
      </c>
      <c r="J199" s="7">
        <v>12.82</v>
      </c>
      <c r="K199" s="7">
        <v>0</v>
      </c>
      <c r="L199" s="7">
        <v>9068.290000000001</v>
      </c>
      <c r="M199" t="s">
        <v>54</v>
      </c>
      <c r="N199" t="s">
        <v>55</v>
      </c>
      <c r="O199">
        <v>11</v>
      </c>
      <c r="P199" s="5" t="s">
        <v>611</v>
      </c>
    </row>
    <row r="200" spans="1:16">
      <c r="A200" s="4">
        <v>46199</v>
      </c>
      <c r="B200" t="s">
        <v>576</v>
      </c>
      <c r="C200" s="5" t="s">
        <v>608</v>
      </c>
      <c r="D200" t="s">
        <v>577</v>
      </c>
      <c r="E200" t="s">
        <v>3</v>
      </c>
      <c r="F200" t="s">
        <v>26</v>
      </c>
      <c r="G200" t="s">
        <v>33</v>
      </c>
      <c r="H200" s="5" t="s">
        <v>578</v>
      </c>
      <c r="I200" s="7">
        <v>-48.13</v>
      </c>
      <c r="J200" s="7">
        <v>48.13</v>
      </c>
      <c r="K200" s="7">
        <v>0</v>
      </c>
      <c r="L200" s="7">
        <v>9020.16</v>
      </c>
      <c r="M200" t="s">
        <v>54</v>
      </c>
      <c r="N200" t="s">
        <v>55</v>
      </c>
      <c r="O200">
        <v>11</v>
      </c>
      <c r="P200" s="5" t="s">
        <v>612</v>
      </c>
    </row>
    <row r="201" spans="1:16">
      <c r="A201" s="4">
        <v>46199</v>
      </c>
      <c r="B201" t="s">
        <v>51</v>
      </c>
      <c r="C201" s="5"/>
      <c r="D201" t="s">
        <v>52</v>
      </c>
      <c r="E201" t="s">
        <v>3</v>
      </c>
      <c r="F201" t="s">
        <v>26</v>
      </c>
      <c r="G201" s="6" t="s">
        <v>34</v>
      </c>
      <c r="H201" s="5" t="s">
        <v>53</v>
      </c>
      <c r="I201" s="7">
        <v>-7.1</v>
      </c>
      <c r="J201" s="7">
        <v>7.1</v>
      </c>
      <c r="K201" s="7">
        <v>0</v>
      </c>
      <c r="L201" s="7">
        <v>9013.059999999999</v>
      </c>
      <c r="M201" t="s">
        <v>54</v>
      </c>
      <c r="N201" t="s">
        <v>55</v>
      </c>
      <c r="O201">
        <v>11</v>
      </c>
      <c r="P201" s="5" t="s">
        <v>613</v>
      </c>
    </row>
    <row r="202" spans="1:16">
      <c r="A202" s="4">
        <v>46199</v>
      </c>
      <c r="B202" t="s">
        <v>226</v>
      </c>
      <c r="C202" s="5"/>
      <c r="D202" t="s">
        <v>202</v>
      </c>
      <c r="E202" t="s">
        <v>3</v>
      </c>
      <c r="F202" t="s">
        <v>26</v>
      </c>
      <c r="G202" t="s">
        <v>35</v>
      </c>
      <c r="H202" s="5" t="s">
        <v>203</v>
      </c>
      <c r="I202" s="7">
        <v>-55</v>
      </c>
      <c r="J202" s="7">
        <v>55</v>
      </c>
      <c r="K202" s="7">
        <v>0</v>
      </c>
      <c r="L202" s="7">
        <v>8958.059999999999</v>
      </c>
      <c r="M202" t="s">
        <v>54</v>
      </c>
      <c r="N202" t="s">
        <v>55</v>
      </c>
      <c r="O202">
        <v>11</v>
      </c>
      <c r="P202" s="5" t="s">
        <v>614</v>
      </c>
    </row>
    <row r="203" spans="1:16">
      <c r="A203" s="4">
        <v>46200</v>
      </c>
      <c r="B203" t="s">
        <v>615</v>
      </c>
      <c r="C203" s="5" t="s">
        <v>616</v>
      </c>
      <c r="D203" t="s">
        <v>617</v>
      </c>
      <c r="E203" t="s">
        <v>23</v>
      </c>
      <c r="F203" t="s">
        <v>28</v>
      </c>
      <c r="G203" t="s">
        <v>33</v>
      </c>
      <c r="H203" s="5" t="s">
        <v>618</v>
      </c>
      <c r="I203" s="7">
        <v>-150.45</v>
      </c>
      <c r="J203" s="7">
        <v>150.45</v>
      </c>
      <c r="K203" s="7">
        <v>0</v>
      </c>
      <c r="L203" s="7">
        <v>8807.610000000001</v>
      </c>
      <c r="M203" t="s">
        <v>54</v>
      </c>
      <c r="N203" t="s">
        <v>55</v>
      </c>
      <c r="O203">
        <v>11</v>
      </c>
      <c r="P203" s="5" t="s">
        <v>619</v>
      </c>
    </row>
    <row r="204" spans="1:16">
      <c r="A204" s="4">
        <v>46200</v>
      </c>
      <c r="B204" t="s">
        <v>81</v>
      </c>
      <c r="C204" s="5" t="s">
        <v>616</v>
      </c>
      <c r="D204" t="s">
        <v>83</v>
      </c>
      <c r="E204" t="s">
        <v>2</v>
      </c>
      <c r="F204" t="s">
        <v>25</v>
      </c>
      <c r="G204" t="s">
        <v>35</v>
      </c>
      <c r="H204" s="5" t="s">
        <v>84</v>
      </c>
      <c r="I204" s="7">
        <v>-35.6</v>
      </c>
      <c r="J204" s="7">
        <v>35.6</v>
      </c>
      <c r="K204" s="7">
        <v>0</v>
      </c>
      <c r="L204" s="7">
        <v>8772.01</v>
      </c>
      <c r="M204" t="s">
        <v>54</v>
      </c>
      <c r="N204" t="s">
        <v>55</v>
      </c>
      <c r="O204">
        <v>11</v>
      </c>
      <c r="P204" s="5" t="s">
        <v>620</v>
      </c>
    </row>
    <row r="205" spans="1:16">
      <c r="A205" s="4">
        <v>46200</v>
      </c>
      <c r="B205" t="s">
        <v>564</v>
      </c>
      <c r="C205" s="5" t="s">
        <v>621</v>
      </c>
      <c r="D205" t="s">
        <v>566</v>
      </c>
      <c r="E205" t="s">
        <v>5</v>
      </c>
      <c r="F205" t="s">
        <v>25</v>
      </c>
      <c r="G205" t="s">
        <v>35</v>
      </c>
      <c r="H205" s="5" t="s">
        <v>567</v>
      </c>
      <c r="I205" s="7">
        <v>-5</v>
      </c>
      <c r="J205" s="7">
        <v>5</v>
      </c>
      <c r="K205" s="7">
        <v>0</v>
      </c>
      <c r="L205" s="7">
        <v>8767.01</v>
      </c>
      <c r="M205" t="s">
        <v>54</v>
      </c>
      <c r="N205" t="s">
        <v>55</v>
      </c>
      <c r="O205">
        <v>11</v>
      </c>
      <c r="P205" s="5" t="s">
        <v>622</v>
      </c>
    </row>
    <row r="206" spans="1:16">
      <c r="A206" s="4">
        <v>46200</v>
      </c>
      <c r="B206" t="s">
        <v>384</v>
      </c>
      <c r="C206" s="5" t="s">
        <v>621</v>
      </c>
      <c r="D206" t="s">
        <v>385</v>
      </c>
      <c r="E206" t="s">
        <v>3</v>
      </c>
      <c r="F206" t="s">
        <v>26</v>
      </c>
      <c r="G206" t="s">
        <v>35</v>
      </c>
      <c r="H206" s="5" t="s">
        <v>93</v>
      </c>
      <c r="I206" s="7">
        <v>-11.2</v>
      </c>
      <c r="J206" s="7">
        <v>11.2</v>
      </c>
      <c r="K206" s="7">
        <v>0</v>
      </c>
      <c r="L206" s="7">
        <v>8755.809999999999</v>
      </c>
      <c r="M206" t="s">
        <v>54</v>
      </c>
      <c r="N206" t="s">
        <v>55</v>
      </c>
      <c r="O206">
        <v>11</v>
      </c>
      <c r="P206" s="5" t="s">
        <v>623</v>
      </c>
    </row>
    <row r="207" spans="1:16">
      <c r="A207" s="4">
        <v>46200</v>
      </c>
      <c r="B207" t="s">
        <v>564</v>
      </c>
      <c r="C207" s="5" t="s">
        <v>621</v>
      </c>
      <c r="D207" t="s">
        <v>566</v>
      </c>
      <c r="E207" t="s">
        <v>5</v>
      </c>
      <c r="F207" t="s">
        <v>25</v>
      </c>
      <c r="G207" t="s">
        <v>35</v>
      </c>
      <c r="H207" s="5" t="s">
        <v>567</v>
      </c>
      <c r="I207" s="7">
        <v>-51.76</v>
      </c>
      <c r="J207" s="7">
        <v>51.76</v>
      </c>
      <c r="K207" s="7">
        <v>0</v>
      </c>
      <c r="L207" s="7">
        <v>8704.049999999999</v>
      </c>
      <c r="M207" t="s">
        <v>54</v>
      </c>
      <c r="N207" t="s">
        <v>55</v>
      </c>
      <c r="O207">
        <v>11</v>
      </c>
      <c r="P207" s="5" t="s">
        <v>624</v>
      </c>
    </row>
    <row r="208" spans="1:16">
      <c r="A208" s="4">
        <v>46200</v>
      </c>
      <c r="B208" t="s">
        <v>205</v>
      </c>
      <c r="C208" s="5"/>
      <c r="D208" t="s">
        <v>206</v>
      </c>
      <c r="E208" t="s">
        <v>3</v>
      </c>
      <c r="F208" t="s">
        <v>26</v>
      </c>
      <c r="G208" t="s">
        <v>35</v>
      </c>
      <c r="H208" s="5" t="s">
        <v>207</v>
      </c>
      <c r="I208" s="7">
        <v>-8.93</v>
      </c>
      <c r="J208" s="7">
        <v>8.93</v>
      </c>
      <c r="K208" s="7">
        <v>0</v>
      </c>
      <c r="L208" s="7">
        <v>8695.120000000001</v>
      </c>
      <c r="M208" t="s">
        <v>54</v>
      </c>
      <c r="N208" t="s">
        <v>55</v>
      </c>
      <c r="O208">
        <v>11</v>
      </c>
      <c r="P208" s="5" t="s">
        <v>625</v>
      </c>
    </row>
    <row r="209" spans="1:16">
      <c r="A209" s="4">
        <v>46200</v>
      </c>
      <c r="B209" t="s">
        <v>626</v>
      </c>
      <c r="C209" s="5"/>
      <c r="D209" t="s">
        <v>627</v>
      </c>
      <c r="E209" t="s">
        <v>17</v>
      </c>
      <c r="F209" t="s">
        <v>29</v>
      </c>
      <c r="G209" s="8" t="s">
        <v>36</v>
      </c>
      <c r="H209" s="5"/>
      <c r="I209" s="7">
        <v>-10.14</v>
      </c>
      <c r="J209" s="7">
        <v>10.14</v>
      </c>
      <c r="K209" s="7">
        <v>0</v>
      </c>
      <c r="L209" s="7">
        <v>8684.98</v>
      </c>
      <c r="M209" t="s">
        <v>54</v>
      </c>
      <c r="N209" t="s">
        <v>55</v>
      </c>
      <c r="O209">
        <v>11</v>
      </c>
      <c r="P209" s="5" t="s">
        <v>628</v>
      </c>
    </row>
    <row r="210" spans="1:16">
      <c r="A210" s="4">
        <v>46200</v>
      </c>
      <c r="B210" t="s">
        <v>339</v>
      </c>
      <c r="C210" s="5"/>
      <c r="D210" t="s">
        <v>340</v>
      </c>
      <c r="E210" t="s">
        <v>3</v>
      </c>
      <c r="F210" t="s">
        <v>26</v>
      </c>
      <c r="G210" t="s">
        <v>35</v>
      </c>
      <c r="H210" s="5" t="s">
        <v>341</v>
      </c>
      <c r="I210" s="7">
        <v>-20</v>
      </c>
      <c r="J210" s="7">
        <v>20</v>
      </c>
      <c r="K210" s="7">
        <v>0</v>
      </c>
      <c r="L210" s="7">
        <v>8664.98</v>
      </c>
      <c r="M210" t="s">
        <v>54</v>
      </c>
      <c r="N210" t="s">
        <v>55</v>
      </c>
      <c r="O210">
        <v>11</v>
      </c>
      <c r="P210" s="5" t="s">
        <v>629</v>
      </c>
    </row>
    <row r="211" spans="1:16">
      <c r="A211" s="4">
        <v>46200</v>
      </c>
      <c r="B211" t="s">
        <v>133</v>
      </c>
      <c r="C211" s="5"/>
      <c r="D211" t="s">
        <v>83</v>
      </c>
      <c r="E211" t="s">
        <v>2</v>
      </c>
      <c r="F211" t="s">
        <v>25</v>
      </c>
      <c r="G211" t="s">
        <v>35</v>
      </c>
      <c r="H211" s="5" t="s">
        <v>84</v>
      </c>
      <c r="I211" s="7">
        <v>-2.6</v>
      </c>
      <c r="J211" s="7">
        <v>2.6</v>
      </c>
      <c r="K211" s="7">
        <v>0</v>
      </c>
      <c r="L211" s="7">
        <v>8662.379999999999</v>
      </c>
      <c r="M211" t="s">
        <v>54</v>
      </c>
      <c r="N211" t="s">
        <v>55</v>
      </c>
      <c r="O211">
        <v>11</v>
      </c>
      <c r="P211" s="5" t="s">
        <v>630</v>
      </c>
    </row>
    <row r="212" spans="1:16">
      <c r="A212" s="4">
        <v>46200</v>
      </c>
      <c r="B212" t="s">
        <v>133</v>
      </c>
      <c r="C212" s="5"/>
      <c r="D212" t="s">
        <v>83</v>
      </c>
      <c r="E212" t="s">
        <v>2</v>
      </c>
      <c r="F212" t="s">
        <v>25</v>
      </c>
      <c r="G212" t="s">
        <v>35</v>
      </c>
      <c r="H212" s="5" t="s">
        <v>84</v>
      </c>
      <c r="I212" s="7">
        <v>-3.5</v>
      </c>
      <c r="J212" s="7">
        <v>3.5</v>
      </c>
      <c r="K212" s="7">
        <v>0</v>
      </c>
      <c r="L212" s="7">
        <v>8658.879999999999</v>
      </c>
      <c r="M212" t="s">
        <v>54</v>
      </c>
      <c r="N212" t="s">
        <v>55</v>
      </c>
      <c r="O212">
        <v>11</v>
      </c>
      <c r="P212" s="5" t="s">
        <v>631</v>
      </c>
    </row>
    <row r="213" spans="1:16">
      <c r="A213" s="4">
        <v>46201</v>
      </c>
      <c r="B213" t="s">
        <v>205</v>
      </c>
      <c r="C213" s="5"/>
      <c r="D213" t="s">
        <v>206</v>
      </c>
      <c r="E213" t="s">
        <v>3</v>
      </c>
      <c r="F213" t="s">
        <v>26</v>
      </c>
      <c r="G213" t="s">
        <v>35</v>
      </c>
      <c r="H213" s="5" t="s">
        <v>207</v>
      </c>
      <c r="I213" s="7">
        <v>-23.15</v>
      </c>
      <c r="J213" s="7">
        <v>23.15</v>
      </c>
      <c r="K213" s="7">
        <v>0</v>
      </c>
      <c r="L213" s="7">
        <v>8635.73</v>
      </c>
      <c r="M213" t="s">
        <v>54</v>
      </c>
      <c r="N213" t="s">
        <v>55</v>
      </c>
      <c r="O213">
        <v>11</v>
      </c>
      <c r="P213" s="5" t="s">
        <v>632</v>
      </c>
    </row>
    <row r="214" spans="1:16">
      <c r="A214" s="4">
        <v>46201</v>
      </c>
      <c r="B214" t="s">
        <v>232</v>
      </c>
      <c r="C214" s="5"/>
      <c r="D214" t="s">
        <v>233</v>
      </c>
      <c r="E214" t="s">
        <v>17</v>
      </c>
      <c r="F214" t="s">
        <v>29</v>
      </c>
      <c r="G214" s="8" t="s">
        <v>36</v>
      </c>
      <c r="H214" s="5"/>
      <c r="I214" s="7">
        <v>-8.67</v>
      </c>
      <c r="J214" s="7">
        <v>8.67</v>
      </c>
      <c r="K214" s="7">
        <v>0</v>
      </c>
      <c r="L214" s="7">
        <v>8627.059999999999</v>
      </c>
      <c r="M214" t="s">
        <v>54</v>
      </c>
      <c r="N214" t="s">
        <v>55</v>
      </c>
      <c r="O214">
        <v>12</v>
      </c>
      <c r="P214" s="5" t="s">
        <v>633</v>
      </c>
    </row>
    <row r="215" spans="1:16">
      <c r="A215" s="4">
        <v>46201</v>
      </c>
      <c r="B215" t="s">
        <v>354</v>
      </c>
      <c r="C215" s="5"/>
      <c r="D215" t="s">
        <v>355</v>
      </c>
      <c r="E215" t="s">
        <v>2</v>
      </c>
      <c r="F215" t="s">
        <v>25</v>
      </c>
      <c r="G215" t="s">
        <v>35</v>
      </c>
      <c r="H215" s="5" t="s">
        <v>356</v>
      </c>
      <c r="I215" s="7">
        <v>-4.49</v>
      </c>
      <c r="J215" s="7">
        <v>4.49</v>
      </c>
      <c r="K215" s="7">
        <v>0</v>
      </c>
      <c r="L215" s="7">
        <v>8622.57</v>
      </c>
      <c r="M215" t="s">
        <v>54</v>
      </c>
      <c r="N215" t="s">
        <v>55</v>
      </c>
      <c r="O215">
        <v>12</v>
      </c>
      <c r="P215" s="5" t="s">
        <v>634</v>
      </c>
    </row>
    <row r="216" spans="1:16">
      <c r="A216" s="4">
        <v>46202</v>
      </c>
      <c r="B216" t="s">
        <v>635</v>
      </c>
      <c r="C216" s="5"/>
      <c r="D216" t="s">
        <v>636</v>
      </c>
      <c r="E216" t="s">
        <v>17</v>
      </c>
      <c r="F216" t="s">
        <v>29</v>
      </c>
      <c r="G216" s="8" t="s">
        <v>36</v>
      </c>
      <c r="H216" s="5"/>
      <c r="I216" s="7">
        <v>-5.5</v>
      </c>
      <c r="J216" s="7">
        <v>5.5</v>
      </c>
      <c r="K216" s="7">
        <v>0</v>
      </c>
      <c r="L216" s="7">
        <v>8617.07</v>
      </c>
      <c r="M216" t="s">
        <v>54</v>
      </c>
      <c r="N216" t="s">
        <v>55</v>
      </c>
      <c r="O216">
        <v>12</v>
      </c>
      <c r="P216" s="5" t="s">
        <v>637</v>
      </c>
    </row>
    <row r="217" spans="1:16">
      <c r="A217" s="4">
        <v>46202</v>
      </c>
      <c r="B217" t="s">
        <v>196</v>
      </c>
      <c r="C217" s="5"/>
      <c r="D217" t="s">
        <v>197</v>
      </c>
      <c r="E217" t="s">
        <v>8</v>
      </c>
      <c r="F217" t="s">
        <v>26</v>
      </c>
      <c r="G217" t="s">
        <v>35</v>
      </c>
      <c r="H217" s="5" t="s">
        <v>198</v>
      </c>
      <c r="I217" s="7">
        <v>-28.8</v>
      </c>
      <c r="J217" s="7">
        <v>28.8</v>
      </c>
      <c r="K217" s="7">
        <v>0</v>
      </c>
      <c r="L217" s="7">
        <v>8588.27</v>
      </c>
      <c r="M217" t="s">
        <v>54</v>
      </c>
      <c r="N217" t="s">
        <v>55</v>
      </c>
      <c r="O217">
        <v>12</v>
      </c>
      <c r="P217" s="5" t="s">
        <v>638</v>
      </c>
    </row>
    <row r="218" spans="1:16">
      <c r="A218" s="4">
        <v>46202</v>
      </c>
      <c r="B218" t="s">
        <v>639</v>
      </c>
      <c r="C218" s="5" t="s">
        <v>640</v>
      </c>
      <c r="D218" t="s">
        <v>639</v>
      </c>
      <c r="E218" t="s">
        <v>20</v>
      </c>
      <c r="F218" t="s">
        <v>31</v>
      </c>
      <c r="G218" t="s">
        <v>37</v>
      </c>
      <c r="H218" s="5"/>
      <c r="I218" s="7">
        <v>10213.18</v>
      </c>
      <c r="J218" s="7">
        <v>0</v>
      </c>
      <c r="K218" s="7">
        <v>10213.18</v>
      </c>
      <c r="L218" s="7">
        <v>18801.45</v>
      </c>
      <c r="M218" t="s">
        <v>54</v>
      </c>
      <c r="N218" t="s">
        <v>55</v>
      </c>
      <c r="O218">
        <v>12</v>
      </c>
      <c r="P218" s="5" t="s">
        <v>641</v>
      </c>
    </row>
    <row r="219" spans="1:16">
      <c r="A219" s="4">
        <v>46203</v>
      </c>
      <c r="B219" t="s">
        <v>109</v>
      </c>
      <c r="C219" s="5" t="s">
        <v>642</v>
      </c>
      <c r="D219" t="s">
        <v>111</v>
      </c>
      <c r="E219" t="s">
        <v>3</v>
      </c>
      <c r="F219" t="s">
        <v>26</v>
      </c>
      <c r="G219" t="s">
        <v>35</v>
      </c>
      <c r="H219" s="5" t="s">
        <v>112</v>
      </c>
      <c r="I219" s="7">
        <v>-27.78</v>
      </c>
      <c r="J219" s="7">
        <v>27.78</v>
      </c>
      <c r="K219" s="7">
        <v>0</v>
      </c>
      <c r="L219" s="7">
        <v>18773.67</v>
      </c>
      <c r="M219" t="s">
        <v>54</v>
      </c>
      <c r="N219" t="s">
        <v>55</v>
      </c>
      <c r="O219">
        <v>12</v>
      </c>
      <c r="P219" s="5" t="s">
        <v>643</v>
      </c>
    </row>
    <row r="220" spans="1:16">
      <c r="A220" s="4">
        <v>46203</v>
      </c>
      <c r="B220" t="s">
        <v>644</v>
      </c>
      <c r="C220" s="5" t="s">
        <v>645</v>
      </c>
      <c r="D220" t="s">
        <v>646</v>
      </c>
      <c r="E220" t="s">
        <v>3</v>
      </c>
      <c r="F220" t="s">
        <v>26</v>
      </c>
      <c r="G220" t="s">
        <v>35</v>
      </c>
      <c r="H220" s="5" t="s">
        <v>75</v>
      </c>
      <c r="I220" s="7">
        <v>-30.2</v>
      </c>
      <c r="J220" s="7">
        <v>30.2</v>
      </c>
      <c r="K220" s="7">
        <v>0</v>
      </c>
      <c r="L220" s="7">
        <v>18743.47</v>
      </c>
      <c r="M220" t="s">
        <v>54</v>
      </c>
      <c r="N220" t="s">
        <v>55</v>
      </c>
      <c r="O220">
        <v>12</v>
      </c>
      <c r="P220" s="5" t="s">
        <v>647</v>
      </c>
    </row>
    <row r="221" spans="1:16">
      <c r="A221" s="4">
        <v>46203</v>
      </c>
      <c r="B221" t="s">
        <v>81</v>
      </c>
      <c r="C221" s="5" t="s">
        <v>645</v>
      </c>
      <c r="D221" t="s">
        <v>83</v>
      </c>
      <c r="E221" t="s">
        <v>2</v>
      </c>
      <c r="F221" t="s">
        <v>25</v>
      </c>
      <c r="G221" t="s">
        <v>35</v>
      </c>
      <c r="H221" s="5" t="s">
        <v>84</v>
      </c>
      <c r="I221" s="7">
        <v>-91.70999999999999</v>
      </c>
      <c r="J221" s="7">
        <v>91.70999999999999</v>
      </c>
      <c r="K221" s="7">
        <v>0</v>
      </c>
      <c r="L221" s="7">
        <v>18651.76</v>
      </c>
      <c r="M221" t="s">
        <v>54</v>
      </c>
      <c r="N221" t="s">
        <v>55</v>
      </c>
      <c r="O221">
        <v>12</v>
      </c>
      <c r="P221" s="5" t="s">
        <v>648</v>
      </c>
    </row>
    <row r="222" spans="1:16">
      <c r="A222" s="4">
        <v>46203</v>
      </c>
      <c r="B222" t="s">
        <v>649</v>
      </c>
      <c r="C222" s="5" t="s">
        <v>645</v>
      </c>
      <c r="D222" t="s">
        <v>340</v>
      </c>
      <c r="E222" t="s">
        <v>3</v>
      </c>
      <c r="F222" t="s">
        <v>26</v>
      </c>
      <c r="G222" t="s">
        <v>35</v>
      </c>
      <c r="H222" s="5" t="s">
        <v>341</v>
      </c>
      <c r="I222" s="7">
        <v>-60</v>
      </c>
      <c r="J222" s="7">
        <v>60</v>
      </c>
      <c r="K222" s="7">
        <v>0</v>
      </c>
      <c r="L222" s="7">
        <v>18591.76</v>
      </c>
      <c r="M222" t="s">
        <v>54</v>
      </c>
      <c r="N222" t="s">
        <v>55</v>
      </c>
      <c r="O222">
        <v>12</v>
      </c>
      <c r="P222" s="5" t="s">
        <v>650</v>
      </c>
    </row>
    <row r="223" spans="1:16">
      <c r="A223" s="4">
        <v>46203</v>
      </c>
      <c r="B223" t="s">
        <v>258</v>
      </c>
      <c r="C223" s="5" t="s">
        <v>651</v>
      </c>
      <c r="D223" t="s">
        <v>259</v>
      </c>
      <c r="E223" t="s">
        <v>2</v>
      </c>
      <c r="F223" t="s">
        <v>25</v>
      </c>
      <c r="G223" t="s">
        <v>35</v>
      </c>
      <c r="H223" s="5" t="s">
        <v>260</v>
      </c>
      <c r="I223" s="7">
        <v>-33.4</v>
      </c>
      <c r="J223" s="7">
        <v>33.4</v>
      </c>
      <c r="K223" s="7">
        <v>0</v>
      </c>
      <c r="L223" s="7">
        <v>18558.36</v>
      </c>
      <c r="M223" t="s">
        <v>54</v>
      </c>
      <c r="N223" t="s">
        <v>55</v>
      </c>
      <c r="O223">
        <v>12</v>
      </c>
      <c r="P223" s="5" t="s">
        <v>652</v>
      </c>
    </row>
    <row r="224" spans="1:16">
      <c r="A224" s="4">
        <v>46203</v>
      </c>
      <c r="B224" t="s">
        <v>653</v>
      </c>
      <c r="C224" s="5" t="s">
        <v>654</v>
      </c>
      <c r="D224" t="s">
        <v>655</v>
      </c>
      <c r="E224" t="s">
        <v>4</v>
      </c>
      <c r="F224" t="s">
        <v>25</v>
      </c>
      <c r="G224" t="s">
        <v>35</v>
      </c>
      <c r="H224" s="5" t="s">
        <v>656</v>
      </c>
      <c r="I224" s="7">
        <v>-17.15</v>
      </c>
      <c r="J224" s="7">
        <v>17.15</v>
      </c>
      <c r="K224" s="7">
        <v>0</v>
      </c>
      <c r="L224" s="7">
        <v>18541.21</v>
      </c>
      <c r="M224" t="s">
        <v>54</v>
      </c>
      <c r="N224" t="s">
        <v>55</v>
      </c>
      <c r="O224">
        <v>12</v>
      </c>
      <c r="P224" s="5" t="s">
        <v>657</v>
      </c>
    </row>
    <row r="225" spans="1:16">
      <c r="A225" s="4">
        <v>46203</v>
      </c>
      <c r="B225" t="s">
        <v>183</v>
      </c>
      <c r="C225" s="5" t="s">
        <v>658</v>
      </c>
      <c r="D225" t="s">
        <v>183</v>
      </c>
      <c r="E225" t="s">
        <v>13</v>
      </c>
      <c r="F225" t="s">
        <v>25</v>
      </c>
      <c r="G225" t="s">
        <v>35</v>
      </c>
      <c r="H225" s="5" t="s">
        <v>185</v>
      </c>
      <c r="I225" s="7">
        <v>-0.6</v>
      </c>
      <c r="J225" s="7">
        <v>0.6</v>
      </c>
      <c r="K225" s="7">
        <v>0</v>
      </c>
      <c r="L225" s="7">
        <v>18540.61</v>
      </c>
      <c r="M225" t="s">
        <v>54</v>
      </c>
      <c r="N225" t="s">
        <v>55</v>
      </c>
      <c r="O225">
        <v>12</v>
      </c>
      <c r="P225" s="5" t="s">
        <v>659</v>
      </c>
    </row>
    <row r="226" spans="1:16">
      <c r="A226" s="4">
        <v>46203</v>
      </c>
      <c r="B226" t="s">
        <v>389</v>
      </c>
      <c r="C226" s="5" t="s">
        <v>660</v>
      </c>
      <c r="D226" t="s">
        <v>390</v>
      </c>
      <c r="E226" t="s">
        <v>17</v>
      </c>
      <c r="F226" t="s">
        <v>29</v>
      </c>
      <c r="G226" s="8" t="s">
        <v>36</v>
      </c>
      <c r="H226" s="5"/>
      <c r="I226" s="7">
        <v>-8.09</v>
      </c>
      <c r="J226" s="7">
        <v>8.09</v>
      </c>
      <c r="K226" s="7">
        <v>0</v>
      </c>
      <c r="L226" s="7">
        <v>18532.52</v>
      </c>
      <c r="M226" t="s">
        <v>54</v>
      </c>
      <c r="N226" t="s">
        <v>55</v>
      </c>
      <c r="O226">
        <v>12</v>
      </c>
      <c r="P226" s="5" t="s">
        <v>661</v>
      </c>
    </row>
    <row r="227" spans="1:16">
      <c r="A227" s="4">
        <v>46203</v>
      </c>
      <c r="B227" t="s">
        <v>564</v>
      </c>
      <c r="C227" s="5" t="s">
        <v>660</v>
      </c>
      <c r="D227" t="s">
        <v>566</v>
      </c>
      <c r="E227" t="s">
        <v>5</v>
      </c>
      <c r="F227" t="s">
        <v>25</v>
      </c>
      <c r="G227" t="s">
        <v>35</v>
      </c>
      <c r="H227" s="5" t="s">
        <v>567</v>
      </c>
      <c r="I227" s="7">
        <v>-5</v>
      </c>
      <c r="J227" s="7">
        <v>5</v>
      </c>
      <c r="K227" s="7">
        <v>0</v>
      </c>
      <c r="L227" s="7">
        <v>18527.52</v>
      </c>
      <c r="M227" t="s">
        <v>54</v>
      </c>
      <c r="N227" t="s">
        <v>55</v>
      </c>
      <c r="O227">
        <v>12</v>
      </c>
      <c r="P227" s="5" t="s">
        <v>662</v>
      </c>
    </row>
    <row r="228" spans="1:16">
      <c r="A228" s="4">
        <v>46203</v>
      </c>
      <c r="B228" t="s">
        <v>663</v>
      </c>
      <c r="C228" s="5"/>
      <c r="D228" t="s">
        <v>664</v>
      </c>
      <c r="E228" t="s">
        <v>17</v>
      </c>
      <c r="F228" t="s">
        <v>29</v>
      </c>
      <c r="G228" s="8" t="s">
        <v>36</v>
      </c>
      <c r="H228" s="5"/>
      <c r="I228" s="7">
        <v>-9</v>
      </c>
      <c r="J228" s="7">
        <v>9</v>
      </c>
      <c r="K228" s="7">
        <v>0</v>
      </c>
      <c r="L228" s="7">
        <v>18518.52</v>
      </c>
      <c r="M228" t="s">
        <v>54</v>
      </c>
      <c r="N228" t="s">
        <v>55</v>
      </c>
      <c r="O228">
        <v>12</v>
      </c>
      <c r="P228" s="5" t="s">
        <v>665</v>
      </c>
    </row>
    <row r="229" spans="1:16">
      <c r="A229" s="4">
        <v>46203</v>
      </c>
      <c r="B229" t="s">
        <v>663</v>
      </c>
      <c r="C229" s="5"/>
      <c r="D229" t="s">
        <v>664</v>
      </c>
      <c r="E229" t="s">
        <v>17</v>
      </c>
      <c r="F229" t="s">
        <v>29</v>
      </c>
      <c r="G229" s="8" t="s">
        <v>36</v>
      </c>
      <c r="H229" s="5"/>
      <c r="I229" s="7">
        <v>-5.5</v>
      </c>
      <c r="J229" s="7">
        <v>5.5</v>
      </c>
      <c r="K229" s="7">
        <v>0</v>
      </c>
      <c r="L229" s="7">
        <v>18513.02</v>
      </c>
      <c r="M229" t="s">
        <v>54</v>
      </c>
      <c r="N229" t="s">
        <v>55</v>
      </c>
      <c r="O229">
        <v>12</v>
      </c>
      <c r="P229" s="5" t="s">
        <v>666</v>
      </c>
    </row>
    <row r="230" spans="1:16">
      <c r="A230" s="4">
        <v>46203</v>
      </c>
      <c r="B230" t="s">
        <v>57</v>
      </c>
      <c r="C230" s="5" t="s">
        <v>667</v>
      </c>
      <c r="D230" t="s">
        <v>57</v>
      </c>
      <c r="E230" t="s">
        <v>20</v>
      </c>
      <c r="F230" t="s">
        <v>31</v>
      </c>
      <c r="G230" t="s">
        <v>37</v>
      </c>
      <c r="H230" s="5"/>
      <c r="I230" s="7">
        <v>957.03</v>
      </c>
      <c r="J230" s="7">
        <v>0</v>
      </c>
      <c r="K230" s="7">
        <v>957.03</v>
      </c>
      <c r="L230" s="7">
        <v>19470.05</v>
      </c>
      <c r="M230" t="s">
        <v>54</v>
      </c>
      <c r="N230" t="s">
        <v>55</v>
      </c>
      <c r="O230">
        <v>12</v>
      </c>
      <c r="P230" s="5" t="s">
        <v>668</v>
      </c>
    </row>
    <row r="231" spans="1:16">
      <c r="A231" s="4">
        <v>46203</v>
      </c>
      <c r="B231" t="s">
        <v>669</v>
      </c>
      <c r="C231" s="5"/>
      <c r="D231" t="s">
        <v>670</v>
      </c>
      <c r="E231" t="s">
        <v>3</v>
      </c>
      <c r="F231" t="s">
        <v>26</v>
      </c>
      <c r="G231" t="s">
        <v>35</v>
      </c>
      <c r="H231" s="5" t="s">
        <v>671</v>
      </c>
      <c r="I231" s="7">
        <v>-4.06</v>
      </c>
      <c r="J231" s="7">
        <v>4.06</v>
      </c>
      <c r="K231" s="7">
        <v>0</v>
      </c>
      <c r="L231" s="7">
        <v>19465.99</v>
      </c>
      <c r="M231" t="s">
        <v>54</v>
      </c>
      <c r="N231" t="s">
        <v>55</v>
      </c>
      <c r="O231">
        <v>12</v>
      </c>
      <c r="P231" s="5" t="s">
        <v>672</v>
      </c>
    </row>
    <row r="232" spans="1:16">
      <c r="A232" s="4">
        <v>46203</v>
      </c>
      <c r="B232" t="s">
        <v>297</v>
      </c>
      <c r="C232" s="5"/>
      <c r="D232" t="s">
        <v>298</v>
      </c>
      <c r="E232" t="s">
        <v>3</v>
      </c>
      <c r="F232" t="s">
        <v>26</v>
      </c>
      <c r="G232" t="s">
        <v>35</v>
      </c>
      <c r="H232" s="5" t="s">
        <v>299</v>
      </c>
      <c r="I232" s="7">
        <v>-10.1</v>
      </c>
      <c r="J232" s="7">
        <v>10.1</v>
      </c>
      <c r="K232" s="7">
        <v>0</v>
      </c>
      <c r="L232" s="7">
        <v>19455.89</v>
      </c>
      <c r="M232" t="s">
        <v>54</v>
      </c>
      <c r="N232" t="s">
        <v>55</v>
      </c>
      <c r="O232">
        <v>12</v>
      </c>
      <c r="P232" s="5" t="s">
        <v>673</v>
      </c>
    </row>
    <row r="233" spans="1:16">
      <c r="A233" s="4">
        <v>46204</v>
      </c>
      <c r="B233" t="s">
        <v>674</v>
      </c>
      <c r="C233" s="5" t="s">
        <v>675</v>
      </c>
      <c r="D233" t="s">
        <v>676</v>
      </c>
      <c r="E233" t="s">
        <v>7</v>
      </c>
      <c r="F233" t="s">
        <v>25</v>
      </c>
      <c r="G233" t="s">
        <v>35</v>
      </c>
      <c r="H233" s="5" t="s">
        <v>677</v>
      </c>
      <c r="I233" s="7">
        <v>-160</v>
      </c>
      <c r="J233" s="7">
        <v>160</v>
      </c>
      <c r="K233" s="7">
        <v>0</v>
      </c>
      <c r="L233" s="7">
        <v>19295.89</v>
      </c>
      <c r="M233" t="s">
        <v>678</v>
      </c>
      <c r="N233" t="s">
        <v>55</v>
      </c>
      <c r="O233">
        <v>12</v>
      </c>
      <c r="P233" s="5" t="s">
        <v>679</v>
      </c>
    </row>
    <row r="234" spans="1:16">
      <c r="A234" s="4">
        <v>46204</v>
      </c>
      <c r="B234" t="s">
        <v>518</v>
      </c>
      <c r="C234" s="5" t="s">
        <v>680</v>
      </c>
      <c r="D234" t="s">
        <v>520</v>
      </c>
      <c r="E234" t="s">
        <v>3</v>
      </c>
      <c r="F234" t="s">
        <v>26</v>
      </c>
      <c r="G234" t="s">
        <v>35</v>
      </c>
      <c r="H234" s="5" t="s">
        <v>299</v>
      </c>
      <c r="I234" s="7">
        <v>-9.609999999999999</v>
      </c>
      <c r="J234" s="7">
        <v>9.609999999999999</v>
      </c>
      <c r="K234" s="7">
        <v>0</v>
      </c>
      <c r="L234" s="7">
        <v>19286.28</v>
      </c>
      <c r="M234" t="s">
        <v>678</v>
      </c>
      <c r="N234" t="s">
        <v>55</v>
      </c>
      <c r="O234">
        <v>13</v>
      </c>
      <c r="P234" s="5" t="s">
        <v>681</v>
      </c>
    </row>
    <row r="235" spans="1:16">
      <c r="A235" s="4">
        <v>46204</v>
      </c>
      <c r="B235" t="s">
        <v>682</v>
      </c>
      <c r="C235" s="5" t="s">
        <v>680</v>
      </c>
      <c r="D235" t="s">
        <v>683</v>
      </c>
      <c r="E235" t="s">
        <v>17</v>
      </c>
      <c r="F235" t="s">
        <v>29</v>
      </c>
      <c r="G235" s="8" t="s">
        <v>36</v>
      </c>
      <c r="H235" s="5"/>
      <c r="I235" s="7">
        <v>-7.1</v>
      </c>
      <c r="J235" s="7">
        <v>7.1</v>
      </c>
      <c r="K235" s="7">
        <v>0</v>
      </c>
      <c r="L235" s="7">
        <v>19279.18</v>
      </c>
      <c r="M235" t="s">
        <v>678</v>
      </c>
      <c r="N235" t="s">
        <v>55</v>
      </c>
      <c r="O235">
        <v>13</v>
      </c>
      <c r="P235" s="5" t="s">
        <v>684</v>
      </c>
    </row>
    <row r="236" spans="1:16">
      <c r="A236" s="4">
        <v>46204</v>
      </c>
      <c r="B236" t="s">
        <v>384</v>
      </c>
      <c r="C236" s="5" t="s">
        <v>680</v>
      </c>
      <c r="D236" t="s">
        <v>385</v>
      </c>
      <c r="E236" t="s">
        <v>3</v>
      </c>
      <c r="F236" t="s">
        <v>26</v>
      </c>
      <c r="G236" t="s">
        <v>35</v>
      </c>
      <c r="H236" s="5" t="s">
        <v>93</v>
      </c>
      <c r="I236" s="7">
        <v>-16.9</v>
      </c>
      <c r="J236" s="7">
        <v>16.9</v>
      </c>
      <c r="K236" s="7">
        <v>0</v>
      </c>
      <c r="L236" s="7">
        <v>19262.28</v>
      </c>
      <c r="M236" t="s">
        <v>678</v>
      </c>
      <c r="N236" t="s">
        <v>55</v>
      </c>
      <c r="O236">
        <v>13</v>
      </c>
      <c r="P236" s="5" t="s">
        <v>685</v>
      </c>
    </row>
    <row r="237" spans="1:16">
      <c r="A237" s="4">
        <v>46204</v>
      </c>
      <c r="B237" t="s">
        <v>51</v>
      </c>
      <c r="C237" s="5"/>
      <c r="D237" t="s">
        <v>52</v>
      </c>
      <c r="E237" t="s">
        <v>3</v>
      </c>
      <c r="F237" t="s">
        <v>26</v>
      </c>
      <c r="G237" s="6" t="s">
        <v>34</v>
      </c>
      <c r="H237" s="5" t="s">
        <v>53</v>
      </c>
      <c r="I237" s="7">
        <v>-7.1</v>
      </c>
      <c r="J237" s="7">
        <v>7.1</v>
      </c>
      <c r="K237" s="7">
        <v>0</v>
      </c>
      <c r="L237" s="7">
        <v>19255.18</v>
      </c>
      <c r="M237" t="s">
        <v>678</v>
      </c>
      <c r="N237" t="s">
        <v>55</v>
      </c>
      <c r="O237">
        <v>13</v>
      </c>
      <c r="P237" s="5" t="s">
        <v>686</v>
      </c>
    </row>
    <row r="238" spans="1:16">
      <c r="A238" s="4">
        <v>46204</v>
      </c>
      <c r="B238" t="s">
        <v>687</v>
      </c>
      <c r="C238" s="5"/>
      <c r="D238" t="s">
        <v>688</v>
      </c>
      <c r="E238" t="s">
        <v>17</v>
      </c>
      <c r="F238" t="s">
        <v>29</v>
      </c>
      <c r="G238" s="8" t="s">
        <v>36</v>
      </c>
      <c r="H238" s="5"/>
      <c r="I238" s="7">
        <v>-22.21</v>
      </c>
      <c r="J238" s="7">
        <v>22.21</v>
      </c>
      <c r="K238" s="7">
        <v>0</v>
      </c>
      <c r="L238" s="7">
        <v>19232.97</v>
      </c>
      <c r="M238" t="s">
        <v>678</v>
      </c>
      <c r="N238" t="s">
        <v>55</v>
      </c>
      <c r="O238">
        <v>13</v>
      </c>
      <c r="P238" s="5" t="s">
        <v>689</v>
      </c>
    </row>
    <row r="239" spans="1:16">
      <c r="A239" s="4">
        <v>46204</v>
      </c>
      <c r="B239" t="s">
        <v>226</v>
      </c>
      <c r="C239" s="5"/>
      <c r="D239" t="s">
        <v>202</v>
      </c>
      <c r="E239" t="s">
        <v>3</v>
      </c>
      <c r="F239" t="s">
        <v>26</v>
      </c>
      <c r="G239" t="s">
        <v>35</v>
      </c>
      <c r="H239" s="5" t="s">
        <v>203</v>
      </c>
      <c r="I239" s="7">
        <v>-47</v>
      </c>
      <c r="J239" s="7">
        <v>47</v>
      </c>
      <c r="K239" s="7">
        <v>0</v>
      </c>
      <c r="L239" s="7">
        <v>19185.97</v>
      </c>
      <c r="M239" t="s">
        <v>678</v>
      </c>
      <c r="N239" t="s">
        <v>55</v>
      </c>
      <c r="O239">
        <v>13</v>
      </c>
      <c r="P239" s="5" t="s">
        <v>690</v>
      </c>
    </row>
    <row r="240" spans="1:16">
      <c r="A240" s="4">
        <v>46204</v>
      </c>
      <c r="B240" t="s">
        <v>691</v>
      </c>
      <c r="C240" s="5"/>
      <c r="D240" t="s">
        <v>691</v>
      </c>
      <c r="E240" t="s">
        <v>6</v>
      </c>
      <c r="F240" t="s">
        <v>26</v>
      </c>
      <c r="G240" t="s">
        <v>35</v>
      </c>
      <c r="H240" s="5" t="s">
        <v>140</v>
      </c>
      <c r="I240" s="7">
        <v>-68</v>
      </c>
      <c r="J240" s="7">
        <v>68</v>
      </c>
      <c r="K240" s="7">
        <v>0</v>
      </c>
      <c r="L240" s="7">
        <v>19117.97</v>
      </c>
      <c r="M240" t="s">
        <v>678</v>
      </c>
      <c r="N240" t="s">
        <v>55</v>
      </c>
      <c r="O240">
        <v>13</v>
      </c>
      <c r="P240" s="5" t="s">
        <v>692</v>
      </c>
    </row>
    <row r="241" spans="1:16">
      <c r="A241" s="4">
        <v>46204</v>
      </c>
      <c r="B241" t="s">
        <v>60</v>
      </c>
      <c r="C241" s="5" t="s">
        <v>61</v>
      </c>
      <c r="D241" t="s">
        <v>60</v>
      </c>
      <c r="E241" t="s">
        <v>7</v>
      </c>
      <c r="F241" t="s">
        <v>25</v>
      </c>
      <c r="G241" t="s">
        <v>35</v>
      </c>
      <c r="H241" s="5" t="s">
        <v>62</v>
      </c>
      <c r="I241" s="7">
        <v>-139.08</v>
      </c>
      <c r="J241" s="7">
        <v>139.08</v>
      </c>
      <c r="K241" s="7">
        <v>0</v>
      </c>
      <c r="L241" s="7">
        <v>18978.89</v>
      </c>
      <c r="M241" t="s">
        <v>678</v>
      </c>
      <c r="N241" t="s">
        <v>55</v>
      </c>
      <c r="O241">
        <v>13</v>
      </c>
      <c r="P241" s="5" t="s">
        <v>693</v>
      </c>
    </row>
    <row r="242" spans="1:16">
      <c r="A242" s="4">
        <v>46205</v>
      </c>
      <c r="B242" t="s">
        <v>694</v>
      </c>
      <c r="C242" s="5" t="s">
        <v>695</v>
      </c>
      <c r="D242" t="s">
        <v>696</v>
      </c>
      <c r="E242" t="s">
        <v>3</v>
      </c>
      <c r="F242" t="s">
        <v>26</v>
      </c>
      <c r="G242" t="s">
        <v>35</v>
      </c>
      <c r="H242" s="5" t="s">
        <v>75</v>
      </c>
      <c r="I242" s="7">
        <v>-7.62</v>
      </c>
      <c r="J242" s="7">
        <v>7.62</v>
      </c>
      <c r="K242" s="7">
        <v>0</v>
      </c>
      <c r="L242" s="7">
        <v>18971.27</v>
      </c>
      <c r="M242" t="s">
        <v>678</v>
      </c>
      <c r="N242" t="s">
        <v>55</v>
      </c>
      <c r="O242">
        <v>13</v>
      </c>
      <c r="P242" s="5" t="s">
        <v>697</v>
      </c>
    </row>
    <row r="243" spans="1:16">
      <c r="A243" s="4">
        <v>46205</v>
      </c>
      <c r="B243" t="s">
        <v>81</v>
      </c>
      <c r="C243" s="5" t="s">
        <v>695</v>
      </c>
      <c r="D243" t="s">
        <v>83</v>
      </c>
      <c r="E243" t="s">
        <v>2</v>
      </c>
      <c r="F243" t="s">
        <v>25</v>
      </c>
      <c r="G243" t="s">
        <v>35</v>
      </c>
      <c r="H243" s="5" t="s">
        <v>84</v>
      </c>
      <c r="I243" s="7">
        <v>-41.6</v>
      </c>
      <c r="J243" s="7">
        <v>41.6</v>
      </c>
      <c r="K243" s="7">
        <v>0</v>
      </c>
      <c r="L243" s="7">
        <v>18929.67</v>
      </c>
      <c r="M243" t="s">
        <v>678</v>
      </c>
      <c r="N243" t="s">
        <v>55</v>
      </c>
      <c r="O243">
        <v>13</v>
      </c>
      <c r="P243" s="5" t="s">
        <v>698</v>
      </c>
    </row>
    <row r="244" spans="1:16">
      <c r="A244" s="4">
        <v>46205</v>
      </c>
      <c r="B244" t="s">
        <v>160</v>
      </c>
      <c r="C244" s="5"/>
      <c r="D244" t="s">
        <v>161</v>
      </c>
      <c r="E244" t="s">
        <v>1</v>
      </c>
      <c r="F244" t="s">
        <v>25</v>
      </c>
      <c r="G244" t="s">
        <v>35</v>
      </c>
      <c r="H244" s="5" t="s">
        <v>162</v>
      </c>
      <c r="I244" s="7">
        <v>-1720</v>
      </c>
      <c r="J244" s="7">
        <v>1720</v>
      </c>
      <c r="K244" s="7">
        <v>0</v>
      </c>
      <c r="L244" s="7">
        <v>17209.67</v>
      </c>
      <c r="M244" t="s">
        <v>678</v>
      </c>
      <c r="N244" t="s">
        <v>55</v>
      </c>
      <c r="O244">
        <v>13</v>
      </c>
      <c r="P244" s="5" t="s">
        <v>699</v>
      </c>
    </row>
    <row r="245" spans="1:16">
      <c r="A245" s="4">
        <v>46205</v>
      </c>
      <c r="B245" t="s">
        <v>187</v>
      </c>
      <c r="C245" s="5"/>
      <c r="D245" t="s">
        <v>188</v>
      </c>
      <c r="E245" t="s">
        <v>3</v>
      </c>
      <c r="F245" t="s">
        <v>26</v>
      </c>
      <c r="G245" t="s">
        <v>35</v>
      </c>
      <c r="H245" s="5" t="s">
        <v>189</v>
      </c>
      <c r="I245" s="7">
        <v>-5.1</v>
      </c>
      <c r="J245" s="7">
        <v>5.1</v>
      </c>
      <c r="K245" s="7">
        <v>0</v>
      </c>
      <c r="L245" s="7">
        <v>17204.57</v>
      </c>
      <c r="M245" t="s">
        <v>678</v>
      </c>
      <c r="N245" t="s">
        <v>55</v>
      </c>
      <c r="O245">
        <v>13</v>
      </c>
      <c r="P245" s="5" t="s">
        <v>700</v>
      </c>
    </row>
    <row r="246" spans="1:16">
      <c r="A246" s="4">
        <v>46205</v>
      </c>
      <c r="B246" t="s">
        <v>187</v>
      </c>
      <c r="C246" s="5"/>
      <c r="D246" t="s">
        <v>188</v>
      </c>
      <c r="E246" t="s">
        <v>3</v>
      </c>
      <c r="F246" t="s">
        <v>26</v>
      </c>
      <c r="G246" t="s">
        <v>35</v>
      </c>
      <c r="H246" s="5" t="s">
        <v>189</v>
      </c>
      <c r="I246" s="7">
        <v>-6.11</v>
      </c>
      <c r="J246" s="7">
        <v>6.11</v>
      </c>
      <c r="K246" s="7">
        <v>0</v>
      </c>
      <c r="L246" s="7">
        <v>17198.46</v>
      </c>
      <c r="M246" t="s">
        <v>678</v>
      </c>
      <c r="N246" t="s">
        <v>55</v>
      </c>
      <c r="O246">
        <v>13</v>
      </c>
      <c r="P246" s="5" t="s">
        <v>701</v>
      </c>
    </row>
    <row r="247" spans="1:16">
      <c r="A247" s="4">
        <v>46205</v>
      </c>
      <c r="B247" t="s">
        <v>307</v>
      </c>
      <c r="C247" s="5"/>
      <c r="D247" t="s">
        <v>308</v>
      </c>
      <c r="E247" t="s">
        <v>3</v>
      </c>
      <c r="F247" t="s">
        <v>26</v>
      </c>
      <c r="G247" t="s">
        <v>35</v>
      </c>
      <c r="H247" s="5" t="s">
        <v>309</v>
      </c>
      <c r="I247" s="7">
        <v>-8</v>
      </c>
      <c r="J247" s="7">
        <v>8</v>
      </c>
      <c r="K247" s="7">
        <v>0</v>
      </c>
      <c r="L247" s="7">
        <v>17190.46</v>
      </c>
      <c r="M247" t="s">
        <v>678</v>
      </c>
      <c r="N247" t="s">
        <v>55</v>
      </c>
      <c r="O247">
        <v>13</v>
      </c>
      <c r="P247" s="5" t="s">
        <v>702</v>
      </c>
    </row>
    <row r="248" spans="1:16">
      <c r="A248" s="4">
        <v>46205</v>
      </c>
      <c r="B248" t="s">
        <v>703</v>
      </c>
      <c r="C248" s="5"/>
      <c r="D248" t="s">
        <v>704</v>
      </c>
      <c r="E248" t="s">
        <v>3</v>
      </c>
      <c r="F248" t="s">
        <v>26</v>
      </c>
      <c r="G248" t="s">
        <v>35</v>
      </c>
      <c r="H248" s="5" t="s">
        <v>299</v>
      </c>
      <c r="I248" s="7">
        <v>-10.12</v>
      </c>
      <c r="J248" s="7">
        <v>10.12</v>
      </c>
      <c r="K248" s="7">
        <v>0</v>
      </c>
      <c r="L248" s="7">
        <v>17180.34</v>
      </c>
      <c r="M248" t="s">
        <v>678</v>
      </c>
      <c r="N248" t="s">
        <v>55</v>
      </c>
      <c r="O248">
        <v>13</v>
      </c>
      <c r="P248" s="5" t="s">
        <v>705</v>
      </c>
    </row>
    <row r="249" spans="1:16">
      <c r="A249" s="4">
        <v>46206</v>
      </c>
      <c r="B249" t="s">
        <v>343</v>
      </c>
      <c r="C249" s="5" t="s">
        <v>706</v>
      </c>
      <c r="D249" t="s">
        <v>345</v>
      </c>
      <c r="E249" t="s">
        <v>3</v>
      </c>
      <c r="F249" t="s">
        <v>26</v>
      </c>
      <c r="G249" t="s">
        <v>35</v>
      </c>
      <c r="H249" s="5" t="s">
        <v>346</v>
      </c>
      <c r="I249" s="7">
        <v>-15.73</v>
      </c>
      <c r="J249" s="7">
        <v>15.73</v>
      </c>
      <c r="K249" s="7">
        <v>0</v>
      </c>
      <c r="L249" s="7">
        <v>17164.61</v>
      </c>
      <c r="M249" t="s">
        <v>678</v>
      </c>
      <c r="N249" t="s">
        <v>55</v>
      </c>
      <c r="O249">
        <v>13</v>
      </c>
      <c r="P249" s="5" t="s">
        <v>707</v>
      </c>
    </row>
    <row r="250" spans="1:16">
      <c r="A250" s="4">
        <v>46206</v>
      </c>
      <c r="B250" t="s">
        <v>81</v>
      </c>
      <c r="C250" s="5" t="s">
        <v>706</v>
      </c>
      <c r="D250" t="s">
        <v>83</v>
      </c>
      <c r="E250" t="s">
        <v>2</v>
      </c>
      <c r="F250" t="s">
        <v>25</v>
      </c>
      <c r="G250" t="s">
        <v>35</v>
      </c>
      <c r="H250" s="5" t="s">
        <v>84</v>
      </c>
      <c r="I250" s="7">
        <v>-68.25</v>
      </c>
      <c r="J250" s="7">
        <v>68.25</v>
      </c>
      <c r="K250" s="7">
        <v>0</v>
      </c>
      <c r="L250" s="7">
        <v>17096.36</v>
      </c>
      <c r="M250" t="s">
        <v>678</v>
      </c>
      <c r="N250" t="s">
        <v>55</v>
      </c>
      <c r="O250">
        <v>13</v>
      </c>
      <c r="P250" s="5" t="s">
        <v>708</v>
      </c>
    </row>
    <row r="251" spans="1:16">
      <c r="A251" s="4">
        <v>46206</v>
      </c>
      <c r="B251" t="s">
        <v>709</v>
      </c>
      <c r="C251" s="5" t="s">
        <v>695</v>
      </c>
      <c r="D251" t="s">
        <v>710</v>
      </c>
      <c r="E251" t="s">
        <v>3</v>
      </c>
      <c r="F251" t="s">
        <v>26</v>
      </c>
      <c r="G251" t="s">
        <v>35</v>
      </c>
      <c r="H251" s="5" t="s">
        <v>299</v>
      </c>
      <c r="I251" s="7">
        <v>-9.699999999999999</v>
      </c>
      <c r="J251" s="7">
        <v>9.699999999999999</v>
      </c>
      <c r="K251" s="7">
        <v>0</v>
      </c>
      <c r="L251" s="7">
        <v>17086.66</v>
      </c>
      <c r="M251" t="s">
        <v>678</v>
      </c>
      <c r="N251" t="s">
        <v>55</v>
      </c>
      <c r="O251">
        <v>13</v>
      </c>
      <c r="P251" s="5" t="s">
        <v>711</v>
      </c>
    </row>
    <row r="252" spans="1:16">
      <c r="A252" s="4">
        <v>46206</v>
      </c>
      <c r="B252" t="s">
        <v>712</v>
      </c>
      <c r="C252" s="5"/>
      <c r="D252" t="s">
        <v>712</v>
      </c>
      <c r="E252" t="s">
        <v>3</v>
      </c>
      <c r="F252" t="s">
        <v>26</v>
      </c>
      <c r="G252" t="s">
        <v>35</v>
      </c>
      <c r="H252" s="5" t="s">
        <v>713</v>
      </c>
      <c r="I252" s="7">
        <v>-11.4</v>
      </c>
      <c r="J252" s="7">
        <v>11.4</v>
      </c>
      <c r="K252" s="7">
        <v>0</v>
      </c>
      <c r="L252" s="7">
        <v>17075.26</v>
      </c>
      <c r="M252" t="s">
        <v>678</v>
      </c>
      <c r="N252" t="s">
        <v>55</v>
      </c>
      <c r="O252">
        <v>13</v>
      </c>
      <c r="P252" s="5" t="s">
        <v>714</v>
      </c>
    </row>
    <row r="253" spans="1:16">
      <c r="A253" s="4">
        <v>46206</v>
      </c>
      <c r="B253" t="s">
        <v>715</v>
      </c>
      <c r="C253" s="5"/>
      <c r="D253" t="s">
        <v>716</v>
      </c>
      <c r="E253" t="s">
        <v>17</v>
      </c>
      <c r="F253" t="s">
        <v>29</v>
      </c>
      <c r="G253" s="8" t="s">
        <v>36</v>
      </c>
      <c r="H253" s="5"/>
      <c r="I253" s="7">
        <v>-9.5</v>
      </c>
      <c r="J253" s="7">
        <v>9.5</v>
      </c>
      <c r="K253" s="7">
        <v>0</v>
      </c>
      <c r="L253" s="7">
        <v>17065.76</v>
      </c>
      <c r="M253" t="s">
        <v>678</v>
      </c>
      <c r="N253" t="s">
        <v>55</v>
      </c>
      <c r="O253">
        <v>13</v>
      </c>
      <c r="P253" s="5" t="s">
        <v>717</v>
      </c>
    </row>
    <row r="254" spans="1:16">
      <c r="A254" s="4">
        <v>46206</v>
      </c>
      <c r="B254" t="s">
        <v>205</v>
      </c>
      <c r="C254" s="5"/>
      <c r="D254" t="s">
        <v>206</v>
      </c>
      <c r="E254" t="s">
        <v>3</v>
      </c>
      <c r="F254" t="s">
        <v>26</v>
      </c>
      <c r="G254" t="s">
        <v>35</v>
      </c>
      <c r="H254" s="5" t="s">
        <v>207</v>
      </c>
      <c r="I254" s="7">
        <v>-23.66</v>
      </c>
      <c r="J254" s="7">
        <v>23.66</v>
      </c>
      <c r="K254" s="7">
        <v>0</v>
      </c>
      <c r="L254" s="7">
        <v>17042.1</v>
      </c>
      <c r="M254" t="s">
        <v>678</v>
      </c>
      <c r="N254" t="s">
        <v>55</v>
      </c>
      <c r="O254">
        <v>13</v>
      </c>
      <c r="P254" s="5" t="s">
        <v>718</v>
      </c>
    </row>
    <row r="255" spans="1:16">
      <c r="A255" s="4">
        <v>46206</v>
      </c>
      <c r="B255" t="s">
        <v>133</v>
      </c>
      <c r="C255" s="5"/>
      <c r="D255" t="s">
        <v>83</v>
      </c>
      <c r="E255" t="s">
        <v>2</v>
      </c>
      <c r="F255" t="s">
        <v>25</v>
      </c>
      <c r="G255" t="s">
        <v>35</v>
      </c>
      <c r="H255" s="5" t="s">
        <v>84</v>
      </c>
      <c r="I255" s="7">
        <v>-22.9</v>
      </c>
      <c r="J255" s="7">
        <v>22.9</v>
      </c>
      <c r="K255" s="7">
        <v>0</v>
      </c>
      <c r="L255" s="7">
        <v>17019.2</v>
      </c>
      <c r="M255" t="s">
        <v>678</v>
      </c>
      <c r="N255" t="s">
        <v>55</v>
      </c>
      <c r="O255">
        <v>13</v>
      </c>
      <c r="P255" s="5" t="s">
        <v>719</v>
      </c>
    </row>
    <row r="256" spans="1:16">
      <c r="A256" s="4">
        <v>46207</v>
      </c>
      <c r="B256" t="s">
        <v>280</v>
      </c>
      <c r="C256" s="5" t="s">
        <v>720</v>
      </c>
      <c r="D256" t="s">
        <v>282</v>
      </c>
      <c r="E256" t="s">
        <v>8</v>
      </c>
      <c r="F256" t="s">
        <v>26</v>
      </c>
      <c r="G256" t="s">
        <v>35</v>
      </c>
      <c r="H256" s="5" t="s">
        <v>176</v>
      </c>
      <c r="I256" s="7">
        <v>-146.93</v>
      </c>
      <c r="J256" s="7">
        <v>146.93</v>
      </c>
      <c r="K256" s="7">
        <v>0</v>
      </c>
      <c r="L256" s="7">
        <v>16872.27</v>
      </c>
      <c r="M256" t="s">
        <v>678</v>
      </c>
      <c r="N256" t="s">
        <v>55</v>
      </c>
      <c r="O256">
        <v>14</v>
      </c>
      <c r="P256" s="5" t="s">
        <v>721</v>
      </c>
    </row>
    <row r="257" spans="1:16">
      <c r="A257" s="4">
        <v>46207</v>
      </c>
      <c r="B257" t="s">
        <v>280</v>
      </c>
      <c r="C257" s="5" t="s">
        <v>720</v>
      </c>
      <c r="D257" t="s">
        <v>282</v>
      </c>
      <c r="E257" t="s">
        <v>8</v>
      </c>
      <c r="F257" t="s">
        <v>26</v>
      </c>
      <c r="G257" t="s">
        <v>35</v>
      </c>
      <c r="H257" s="5" t="s">
        <v>176</v>
      </c>
      <c r="I257" s="7">
        <v>-61.69</v>
      </c>
      <c r="J257" s="7">
        <v>61.69</v>
      </c>
      <c r="K257" s="7">
        <v>0</v>
      </c>
      <c r="L257" s="7">
        <v>16810.58</v>
      </c>
      <c r="M257" t="s">
        <v>678</v>
      </c>
      <c r="N257" t="s">
        <v>55</v>
      </c>
      <c r="O257">
        <v>14</v>
      </c>
      <c r="P257" s="5" t="s">
        <v>722</v>
      </c>
    </row>
    <row r="258" spans="1:16">
      <c r="A258" s="4">
        <v>46207</v>
      </c>
      <c r="B258" t="s">
        <v>280</v>
      </c>
      <c r="C258" s="5" t="s">
        <v>720</v>
      </c>
      <c r="D258" t="s">
        <v>282</v>
      </c>
      <c r="E258" t="s">
        <v>8</v>
      </c>
      <c r="F258" t="s">
        <v>26</v>
      </c>
      <c r="G258" t="s">
        <v>35</v>
      </c>
      <c r="H258" s="5" t="s">
        <v>176</v>
      </c>
      <c r="I258" s="7">
        <v>-78.31</v>
      </c>
      <c r="J258" s="7">
        <v>78.31</v>
      </c>
      <c r="K258" s="7">
        <v>0</v>
      </c>
      <c r="L258" s="7">
        <v>16732.27</v>
      </c>
      <c r="M258" t="s">
        <v>678</v>
      </c>
      <c r="N258" t="s">
        <v>55</v>
      </c>
      <c r="O258">
        <v>14</v>
      </c>
      <c r="P258" s="5" t="s">
        <v>723</v>
      </c>
    </row>
    <row r="259" spans="1:16">
      <c r="A259" s="4">
        <v>46207</v>
      </c>
      <c r="B259" t="s">
        <v>724</v>
      </c>
      <c r="C259" s="5" t="s">
        <v>725</v>
      </c>
      <c r="D259" t="s">
        <v>726</v>
      </c>
      <c r="E259" t="s">
        <v>3</v>
      </c>
      <c r="F259" t="s">
        <v>26</v>
      </c>
      <c r="G259" t="s">
        <v>35</v>
      </c>
      <c r="H259" s="5" t="s">
        <v>397</v>
      </c>
      <c r="I259" s="7">
        <v>-13.72</v>
      </c>
      <c r="J259" s="7">
        <v>13.72</v>
      </c>
      <c r="K259" s="7">
        <v>0</v>
      </c>
      <c r="L259" s="7">
        <v>16718.55</v>
      </c>
      <c r="M259" t="s">
        <v>678</v>
      </c>
      <c r="N259" t="s">
        <v>55</v>
      </c>
      <c r="O259">
        <v>14</v>
      </c>
      <c r="P259" s="5" t="s">
        <v>727</v>
      </c>
    </row>
    <row r="260" spans="1:16">
      <c r="A260" s="4">
        <v>46207</v>
      </c>
      <c r="B260" t="s">
        <v>522</v>
      </c>
      <c r="C260" s="5" t="s">
        <v>728</v>
      </c>
      <c r="D260" t="s">
        <v>523</v>
      </c>
      <c r="E260" t="s">
        <v>7</v>
      </c>
      <c r="F260" t="s">
        <v>25</v>
      </c>
      <c r="G260" t="s">
        <v>35</v>
      </c>
      <c r="H260" s="5" t="s">
        <v>524</v>
      </c>
      <c r="I260" s="7">
        <v>-8.99</v>
      </c>
      <c r="J260" s="7">
        <v>8.99</v>
      </c>
      <c r="K260" s="7">
        <v>0</v>
      </c>
      <c r="L260" s="7">
        <v>16709.56</v>
      </c>
      <c r="M260" t="s">
        <v>678</v>
      </c>
      <c r="N260" t="s">
        <v>55</v>
      </c>
      <c r="O260">
        <v>14</v>
      </c>
      <c r="P260" s="5" t="s">
        <v>729</v>
      </c>
    </row>
    <row r="261" spans="1:16">
      <c r="A261" s="4">
        <v>46207</v>
      </c>
      <c r="B261" t="s">
        <v>730</v>
      </c>
      <c r="C261" s="5" t="s">
        <v>731</v>
      </c>
      <c r="D261" t="s">
        <v>732</v>
      </c>
      <c r="E261" t="s">
        <v>21</v>
      </c>
      <c r="F261" t="s">
        <v>31</v>
      </c>
      <c r="G261" t="s">
        <v>37</v>
      </c>
      <c r="H261" s="5"/>
      <c r="I261" s="7">
        <v>5</v>
      </c>
      <c r="J261" s="7">
        <v>0</v>
      </c>
      <c r="K261" s="7">
        <v>5</v>
      </c>
      <c r="L261" s="7">
        <v>16714.56</v>
      </c>
      <c r="M261" t="s">
        <v>678</v>
      </c>
      <c r="N261" t="s">
        <v>55</v>
      </c>
      <c r="O261">
        <v>14</v>
      </c>
      <c r="P261" s="5" t="s">
        <v>733</v>
      </c>
    </row>
    <row r="262" spans="1:16">
      <c r="A262" s="4">
        <v>46207</v>
      </c>
      <c r="B262" t="s">
        <v>81</v>
      </c>
      <c r="C262" s="5" t="s">
        <v>731</v>
      </c>
      <c r="D262" t="s">
        <v>83</v>
      </c>
      <c r="E262" t="s">
        <v>2</v>
      </c>
      <c r="F262" t="s">
        <v>25</v>
      </c>
      <c r="G262" t="s">
        <v>35</v>
      </c>
      <c r="H262" s="5" t="s">
        <v>84</v>
      </c>
      <c r="I262" s="7">
        <v>-39.66</v>
      </c>
      <c r="J262" s="7">
        <v>39.66</v>
      </c>
      <c r="K262" s="7">
        <v>0</v>
      </c>
      <c r="L262" s="7">
        <v>16674.9</v>
      </c>
      <c r="M262" t="s">
        <v>678</v>
      </c>
      <c r="N262" t="s">
        <v>55</v>
      </c>
      <c r="O262">
        <v>14</v>
      </c>
      <c r="P262" s="5" t="s">
        <v>734</v>
      </c>
    </row>
    <row r="263" spans="1:16">
      <c r="A263" s="4">
        <v>46207</v>
      </c>
      <c r="B263" t="s">
        <v>735</v>
      </c>
      <c r="C263" s="5"/>
      <c r="D263" t="s">
        <v>736</v>
      </c>
      <c r="E263" t="s">
        <v>5</v>
      </c>
      <c r="F263" t="s">
        <v>25</v>
      </c>
      <c r="G263" t="s">
        <v>35</v>
      </c>
      <c r="H263" s="5" t="s">
        <v>737</v>
      </c>
      <c r="I263" s="7">
        <v>-43.2</v>
      </c>
      <c r="J263" s="7">
        <v>43.2</v>
      </c>
      <c r="K263" s="7">
        <v>0</v>
      </c>
      <c r="L263" s="7">
        <v>16631.7</v>
      </c>
      <c r="M263" t="s">
        <v>678</v>
      </c>
      <c r="N263" t="s">
        <v>55</v>
      </c>
      <c r="O263">
        <v>14</v>
      </c>
      <c r="P263" s="5" t="s">
        <v>738</v>
      </c>
    </row>
    <row r="264" spans="1:16">
      <c r="A264" s="4">
        <v>46207</v>
      </c>
      <c r="B264" t="s">
        <v>739</v>
      </c>
      <c r="C264" s="5"/>
      <c r="D264" t="s">
        <v>739</v>
      </c>
      <c r="E264" t="s">
        <v>17</v>
      </c>
      <c r="F264" t="s">
        <v>29</v>
      </c>
      <c r="G264" s="8" t="s">
        <v>36</v>
      </c>
      <c r="H264" s="5"/>
      <c r="I264" s="7">
        <v>-12</v>
      </c>
      <c r="J264" s="7">
        <v>12</v>
      </c>
      <c r="K264" s="7">
        <v>0</v>
      </c>
      <c r="L264" s="7">
        <v>16619.7</v>
      </c>
      <c r="M264" t="s">
        <v>678</v>
      </c>
      <c r="N264" t="s">
        <v>55</v>
      </c>
      <c r="O264">
        <v>14</v>
      </c>
      <c r="P264" s="5" t="s">
        <v>740</v>
      </c>
    </row>
    <row r="265" spans="1:16">
      <c r="A265" s="4">
        <v>46207</v>
      </c>
      <c r="B265" t="s">
        <v>226</v>
      </c>
      <c r="C265" s="5"/>
      <c r="D265" t="s">
        <v>202</v>
      </c>
      <c r="E265" t="s">
        <v>3</v>
      </c>
      <c r="F265" t="s">
        <v>26</v>
      </c>
      <c r="G265" t="s">
        <v>35</v>
      </c>
      <c r="H265" s="5" t="s">
        <v>203</v>
      </c>
      <c r="I265" s="7">
        <v>-143</v>
      </c>
      <c r="J265" s="7">
        <v>143</v>
      </c>
      <c r="K265" s="7">
        <v>0</v>
      </c>
      <c r="L265" s="7">
        <v>16476.7</v>
      </c>
      <c r="M265" t="s">
        <v>678</v>
      </c>
      <c r="N265" t="s">
        <v>55</v>
      </c>
      <c r="O265">
        <v>14</v>
      </c>
      <c r="P265" s="5" t="s">
        <v>741</v>
      </c>
    </row>
    <row r="266" spans="1:16">
      <c r="A266" s="4">
        <v>46208</v>
      </c>
      <c r="B266" t="s">
        <v>742</v>
      </c>
      <c r="C266" s="5"/>
      <c r="D266" t="s">
        <v>742</v>
      </c>
      <c r="E266" t="s">
        <v>17</v>
      </c>
      <c r="F266" t="s">
        <v>29</v>
      </c>
      <c r="G266" s="8" t="s">
        <v>36</v>
      </c>
      <c r="H266" s="5"/>
      <c r="I266" s="7">
        <v>-9.800000000000001</v>
      </c>
      <c r="J266" s="7">
        <v>9.800000000000001</v>
      </c>
      <c r="K266" s="7">
        <v>0</v>
      </c>
      <c r="L266" s="7">
        <v>16466.9</v>
      </c>
      <c r="M266" t="s">
        <v>678</v>
      </c>
      <c r="N266" t="s">
        <v>55</v>
      </c>
      <c r="O266">
        <v>14</v>
      </c>
      <c r="P266" s="5" t="s">
        <v>743</v>
      </c>
    </row>
    <row r="267" spans="1:16">
      <c r="A267" s="4">
        <v>46208</v>
      </c>
      <c r="B267" t="s">
        <v>744</v>
      </c>
      <c r="C267" s="5"/>
      <c r="D267" t="s">
        <v>744</v>
      </c>
      <c r="E267" t="s">
        <v>8</v>
      </c>
      <c r="F267" t="s">
        <v>26</v>
      </c>
      <c r="G267" t="s">
        <v>35</v>
      </c>
      <c r="H267" s="5" t="s">
        <v>745</v>
      </c>
      <c r="I267" s="7">
        <v>-5.99</v>
      </c>
      <c r="J267" s="7">
        <v>5.99</v>
      </c>
      <c r="K267" s="7">
        <v>0</v>
      </c>
      <c r="L267" s="7">
        <v>16460.91</v>
      </c>
      <c r="M267" t="s">
        <v>678</v>
      </c>
      <c r="N267" t="s">
        <v>55</v>
      </c>
      <c r="O267">
        <v>14</v>
      </c>
      <c r="P267" s="5" t="s">
        <v>746</v>
      </c>
    </row>
    <row r="268" spans="1:16">
      <c r="A268" s="4">
        <v>46208</v>
      </c>
      <c r="B268" t="s">
        <v>747</v>
      </c>
      <c r="C268" s="5"/>
      <c r="D268" t="s">
        <v>748</v>
      </c>
      <c r="E268" t="s">
        <v>8</v>
      </c>
      <c r="F268" t="s">
        <v>26</v>
      </c>
      <c r="G268" t="s">
        <v>35</v>
      </c>
      <c r="H268" s="5" t="s">
        <v>749</v>
      </c>
      <c r="I268" s="7">
        <v>-9.75</v>
      </c>
      <c r="J268" s="7">
        <v>9.75</v>
      </c>
      <c r="K268" s="7">
        <v>0</v>
      </c>
      <c r="L268" s="7">
        <v>16451.16</v>
      </c>
      <c r="M268" t="s">
        <v>678</v>
      </c>
      <c r="N268" t="s">
        <v>55</v>
      </c>
      <c r="O268">
        <v>14</v>
      </c>
      <c r="P268" s="5" t="s">
        <v>750</v>
      </c>
    </row>
    <row r="269" spans="1:16">
      <c r="A269" s="4">
        <v>46208</v>
      </c>
      <c r="B269" t="s">
        <v>751</v>
      </c>
      <c r="C269" s="5"/>
      <c r="D269" t="s">
        <v>752</v>
      </c>
      <c r="E269" t="s">
        <v>15</v>
      </c>
      <c r="F269" t="s">
        <v>27</v>
      </c>
      <c r="G269" t="s">
        <v>33</v>
      </c>
      <c r="H269" s="5" t="s">
        <v>753</v>
      </c>
      <c r="I269" s="7">
        <v>-94.12</v>
      </c>
      <c r="J269" s="7">
        <v>94.12</v>
      </c>
      <c r="K269" s="7">
        <v>0</v>
      </c>
      <c r="L269" s="7">
        <v>16357.04</v>
      </c>
      <c r="M269" t="s">
        <v>678</v>
      </c>
      <c r="N269" t="s">
        <v>55</v>
      </c>
      <c r="O269">
        <v>14</v>
      </c>
      <c r="P269" s="5" t="s">
        <v>754</v>
      </c>
    </row>
    <row r="270" spans="1:16">
      <c r="A270" s="4">
        <v>46209</v>
      </c>
      <c r="B270" t="s">
        <v>537</v>
      </c>
      <c r="C270" s="5"/>
      <c r="D270" t="s">
        <v>538</v>
      </c>
      <c r="E270" t="s">
        <v>3</v>
      </c>
      <c r="F270" t="s">
        <v>26</v>
      </c>
      <c r="G270" t="s">
        <v>35</v>
      </c>
      <c r="H270" s="5" t="s">
        <v>539</v>
      </c>
      <c r="I270" s="7">
        <v>-14.22</v>
      </c>
      <c r="J270" s="7">
        <v>14.22</v>
      </c>
      <c r="K270" s="7">
        <v>0</v>
      </c>
      <c r="L270" s="7">
        <v>16342.82</v>
      </c>
      <c r="M270" t="s">
        <v>678</v>
      </c>
      <c r="N270" t="s">
        <v>55</v>
      </c>
      <c r="O270">
        <v>14</v>
      </c>
      <c r="P270" s="5" t="s">
        <v>755</v>
      </c>
    </row>
    <row r="271" spans="1:16">
      <c r="A271" s="4">
        <v>46209</v>
      </c>
      <c r="B271" t="s">
        <v>756</v>
      </c>
      <c r="C271" s="5"/>
      <c r="D271" t="s">
        <v>757</v>
      </c>
      <c r="E271" t="s">
        <v>17</v>
      </c>
      <c r="F271" t="s">
        <v>29</v>
      </c>
      <c r="G271" s="8" t="s">
        <v>36</v>
      </c>
      <c r="H271" s="5"/>
      <c r="I271" s="7">
        <v>-7.14</v>
      </c>
      <c r="J271" s="7">
        <v>7.14</v>
      </c>
      <c r="K271" s="7">
        <v>0</v>
      </c>
      <c r="L271" s="7">
        <v>16335.68</v>
      </c>
      <c r="M271" t="s">
        <v>678</v>
      </c>
      <c r="N271" t="s">
        <v>55</v>
      </c>
      <c r="O271">
        <v>14</v>
      </c>
      <c r="P271" s="5" t="s">
        <v>758</v>
      </c>
    </row>
    <row r="272" spans="1:16">
      <c r="A272" s="4">
        <v>46209</v>
      </c>
      <c r="B272" t="s">
        <v>759</v>
      </c>
      <c r="C272" s="5"/>
      <c r="D272" t="s">
        <v>760</v>
      </c>
      <c r="E272" t="s">
        <v>5</v>
      </c>
      <c r="F272" t="s">
        <v>25</v>
      </c>
      <c r="G272" t="s">
        <v>33</v>
      </c>
      <c r="H272" s="5" t="s">
        <v>761</v>
      </c>
      <c r="I272" s="7">
        <v>-16.8</v>
      </c>
      <c r="J272" s="7">
        <v>16.8</v>
      </c>
      <c r="K272" s="7">
        <v>0</v>
      </c>
      <c r="L272" s="7">
        <v>16318.88</v>
      </c>
      <c r="M272" t="s">
        <v>678</v>
      </c>
      <c r="N272" t="s">
        <v>55</v>
      </c>
      <c r="O272">
        <v>14</v>
      </c>
      <c r="P272" s="5" t="s">
        <v>762</v>
      </c>
    </row>
    <row r="273" spans="1:16">
      <c r="A273" s="4">
        <v>46210</v>
      </c>
      <c r="B273" t="s">
        <v>98</v>
      </c>
      <c r="C273" s="5" t="s">
        <v>763</v>
      </c>
      <c r="D273" t="s">
        <v>100</v>
      </c>
      <c r="E273" t="s">
        <v>5</v>
      </c>
      <c r="F273" t="s">
        <v>25</v>
      </c>
      <c r="G273" t="s">
        <v>33</v>
      </c>
      <c r="H273" s="5" t="s">
        <v>101</v>
      </c>
      <c r="I273" s="7">
        <v>-5.45</v>
      </c>
      <c r="J273" s="7">
        <v>5.45</v>
      </c>
      <c r="K273" s="7">
        <v>0</v>
      </c>
      <c r="L273" s="7">
        <v>16313.43</v>
      </c>
      <c r="M273" t="s">
        <v>678</v>
      </c>
      <c r="N273" t="s">
        <v>55</v>
      </c>
      <c r="O273">
        <v>14</v>
      </c>
      <c r="P273" s="5" t="s">
        <v>764</v>
      </c>
    </row>
    <row r="274" spans="1:16">
      <c r="A274" s="4">
        <v>46210</v>
      </c>
      <c r="B274" t="s">
        <v>765</v>
      </c>
      <c r="C274" s="5" t="s">
        <v>766</v>
      </c>
      <c r="D274" t="s">
        <v>767</v>
      </c>
      <c r="E274" t="s">
        <v>3</v>
      </c>
      <c r="F274" t="s">
        <v>26</v>
      </c>
      <c r="G274" t="s">
        <v>35</v>
      </c>
      <c r="H274" s="5" t="s">
        <v>768</v>
      </c>
      <c r="I274" s="7">
        <v>-5.86</v>
      </c>
      <c r="J274" s="7">
        <v>5.86</v>
      </c>
      <c r="K274" s="7">
        <v>0</v>
      </c>
      <c r="L274" s="7">
        <v>16307.57</v>
      </c>
      <c r="M274" t="s">
        <v>678</v>
      </c>
      <c r="N274" t="s">
        <v>55</v>
      </c>
      <c r="O274">
        <v>14</v>
      </c>
      <c r="P274" s="5" t="s">
        <v>769</v>
      </c>
    </row>
    <row r="275" spans="1:16">
      <c r="A275" s="4">
        <v>46210</v>
      </c>
      <c r="B275" t="s">
        <v>98</v>
      </c>
      <c r="C275" s="5" t="s">
        <v>770</v>
      </c>
      <c r="D275" t="s">
        <v>100</v>
      </c>
      <c r="E275" t="s">
        <v>5</v>
      </c>
      <c r="F275" t="s">
        <v>25</v>
      </c>
      <c r="G275" t="s">
        <v>33</v>
      </c>
      <c r="H275" s="5" t="s">
        <v>101</v>
      </c>
      <c r="I275" s="7">
        <v>-4.03</v>
      </c>
      <c r="J275" s="7">
        <v>4.03</v>
      </c>
      <c r="K275" s="7">
        <v>0</v>
      </c>
      <c r="L275" s="7">
        <v>16303.54</v>
      </c>
      <c r="M275" t="s">
        <v>678</v>
      </c>
      <c r="N275" t="s">
        <v>55</v>
      </c>
      <c r="O275">
        <v>14</v>
      </c>
      <c r="P275" s="5" t="s">
        <v>771</v>
      </c>
    </row>
    <row r="276" spans="1:16">
      <c r="A276" s="4">
        <v>46210</v>
      </c>
      <c r="B276" t="s">
        <v>384</v>
      </c>
      <c r="C276" s="5" t="s">
        <v>770</v>
      </c>
      <c r="D276" t="s">
        <v>385</v>
      </c>
      <c r="E276" t="s">
        <v>3</v>
      </c>
      <c r="F276" t="s">
        <v>26</v>
      </c>
      <c r="G276" t="s">
        <v>35</v>
      </c>
      <c r="H276" s="5" t="s">
        <v>93</v>
      </c>
      <c r="I276" s="7">
        <v>-50.1</v>
      </c>
      <c r="J276" s="7">
        <v>50.1</v>
      </c>
      <c r="K276" s="7">
        <v>0</v>
      </c>
      <c r="L276" s="7">
        <v>16253.44</v>
      </c>
      <c r="M276" t="s">
        <v>678</v>
      </c>
      <c r="N276" t="s">
        <v>55</v>
      </c>
      <c r="O276">
        <v>14</v>
      </c>
      <c r="P276" s="5" t="s">
        <v>772</v>
      </c>
    </row>
    <row r="277" spans="1:16">
      <c r="A277" s="4">
        <v>46210</v>
      </c>
      <c r="B277" t="s">
        <v>773</v>
      </c>
      <c r="C277" s="5" t="s">
        <v>725</v>
      </c>
      <c r="D277" t="s">
        <v>774</v>
      </c>
      <c r="E277" t="s">
        <v>14</v>
      </c>
      <c r="F277" t="s">
        <v>27</v>
      </c>
      <c r="G277" t="s">
        <v>35</v>
      </c>
      <c r="H277" s="5" t="s">
        <v>775</v>
      </c>
      <c r="I277" s="7">
        <v>-0.4</v>
      </c>
      <c r="J277" s="7">
        <v>0.4</v>
      </c>
      <c r="K277" s="7">
        <v>0</v>
      </c>
      <c r="L277" s="7">
        <v>16253.04</v>
      </c>
      <c r="M277" t="s">
        <v>678</v>
      </c>
      <c r="N277" t="s">
        <v>55</v>
      </c>
      <c r="O277">
        <v>15</v>
      </c>
      <c r="P277" s="5" t="s">
        <v>776</v>
      </c>
    </row>
    <row r="278" spans="1:16">
      <c r="A278" s="4">
        <v>46210</v>
      </c>
      <c r="B278" t="s">
        <v>81</v>
      </c>
      <c r="C278" s="5" t="s">
        <v>725</v>
      </c>
      <c r="D278" t="s">
        <v>83</v>
      </c>
      <c r="E278" t="s">
        <v>2</v>
      </c>
      <c r="F278" t="s">
        <v>25</v>
      </c>
      <c r="G278" t="s">
        <v>35</v>
      </c>
      <c r="H278" s="5" t="s">
        <v>84</v>
      </c>
      <c r="I278" s="7">
        <v>-36.85</v>
      </c>
      <c r="J278" s="7">
        <v>36.85</v>
      </c>
      <c r="K278" s="7">
        <v>0</v>
      </c>
      <c r="L278" s="7">
        <v>16216.19</v>
      </c>
      <c r="M278" t="s">
        <v>678</v>
      </c>
      <c r="N278" t="s">
        <v>55</v>
      </c>
      <c r="O278">
        <v>15</v>
      </c>
      <c r="P278" s="5" t="s">
        <v>777</v>
      </c>
    </row>
    <row r="279" spans="1:16">
      <c r="A279" s="4">
        <v>46210</v>
      </c>
      <c r="B279" t="s">
        <v>778</v>
      </c>
      <c r="C279" s="5" t="s">
        <v>779</v>
      </c>
      <c r="D279" t="s">
        <v>780</v>
      </c>
      <c r="E279" t="s">
        <v>17</v>
      </c>
      <c r="F279" t="s">
        <v>29</v>
      </c>
      <c r="G279" s="8" t="s">
        <v>36</v>
      </c>
      <c r="H279" s="5"/>
      <c r="I279" s="7">
        <v>-69.09999999999999</v>
      </c>
      <c r="J279" s="7">
        <v>69.09999999999999</v>
      </c>
      <c r="K279" s="7">
        <v>0</v>
      </c>
      <c r="L279" s="7">
        <v>16147.09</v>
      </c>
      <c r="M279" t="s">
        <v>678</v>
      </c>
      <c r="N279" t="s">
        <v>55</v>
      </c>
      <c r="O279">
        <v>15</v>
      </c>
      <c r="P279" s="5" t="s">
        <v>781</v>
      </c>
    </row>
    <row r="280" spans="1:16">
      <c r="A280" s="4">
        <v>46210</v>
      </c>
      <c r="B280" t="s">
        <v>98</v>
      </c>
      <c r="C280" s="5" t="s">
        <v>725</v>
      </c>
      <c r="D280" t="s">
        <v>100</v>
      </c>
      <c r="E280" t="s">
        <v>5</v>
      </c>
      <c r="F280" t="s">
        <v>25</v>
      </c>
      <c r="G280" t="s">
        <v>33</v>
      </c>
      <c r="H280" s="5" t="s">
        <v>101</v>
      </c>
      <c r="I280" s="7">
        <v>-4.03</v>
      </c>
      <c r="J280" s="7">
        <v>4.03</v>
      </c>
      <c r="K280" s="7">
        <v>0</v>
      </c>
      <c r="L280" s="7">
        <v>16143.06</v>
      </c>
      <c r="M280" t="s">
        <v>678</v>
      </c>
      <c r="N280" t="s">
        <v>55</v>
      </c>
      <c r="O280">
        <v>15</v>
      </c>
      <c r="P280" s="5" t="s">
        <v>782</v>
      </c>
    </row>
    <row r="281" spans="1:16">
      <c r="A281" s="4">
        <v>46210</v>
      </c>
      <c r="B281" t="s">
        <v>783</v>
      </c>
      <c r="C281" s="5" t="s">
        <v>725</v>
      </c>
      <c r="D281" t="s">
        <v>784</v>
      </c>
      <c r="E281" t="s">
        <v>14</v>
      </c>
      <c r="F281" t="s">
        <v>27</v>
      </c>
      <c r="G281" t="s">
        <v>35</v>
      </c>
      <c r="H281" s="5" t="s">
        <v>785</v>
      </c>
      <c r="I281" s="7">
        <v>-43.6</v>
      </c>
      <c r="J281" s="7">
        <v>43.6</v>
      </c>
      <c r="K281" s="7">
        <v>0</v>
      </c>
      <c r="L281" s="7">
        <v>16099.46</v>
      </c>
      <c r="M281" t="s">
        <v>678</v>
      </c>
      <c r="N281" t="s">
        <v>55</v>
      </c>
      <c r="O281">
        <v>15</v>
      </c>
      <c r="P281" s="5" t="s">
        <v>786</v>
      </c>
    </row>
    <row r="282" spans="1:16">
      <c r="A282" s="4">
        <v>46210</v>
      </c>
      <c r="B282" t="s">
        <v>787</v>
      </c>
      <c r="C282" s="5" t="s">
        <v>788</v>
      </c>
      <c r="D282" t="s">
        <v>789</v>
      </c>
      <c r="E282" t="s">
        <v>15</v>
      </c>
      <c r="F282" t="s">
        <v>27</v>
      </c>
      <c r="G282" t="s">
        <v>33</v>
      </c>
      <c r="H282" s="5" t="s">
        <v>790</v>
      </c>
      <c r="I282" s="7">
        <v>-211</v>
      </c>
      <c r="J282" s="7">
        <v>211</v>
      </c>
      <c r="K282" s="7">
        <v>0</v>
      </c>
      <c r="L282" s="7">
        <v>15888.46</v>
      </c>
      <c r="M282" t="s">
        <v>678</v>
      </c>
      <c r="N282" t="s">
        <v>55</v>
      </c>
      <c r="O282">
        <v>15</v>
      </c>
      <c r="P282" s="5" t="s">
        <v>791</v>
      </c>
    </row>
    <row r="283" spans="1:16">
      <c r="A283" s="4">
        <v>46210</v>
      </c>
      <c r="B283" t="s">
        <v>564</v>
      </c>
      <c r="C283" s="5" t="s">
        <v>725</v>
      </c>
      <c r="D283" t="s">
        <v>566</v>
      </c>
      <c r="E283" t="s">
        <v>5</v>
      </c>
      <c r="F283" t="s">
        <v>25</v>
      </c>
      <c r="G283" t="s">
        <v>35</v>
      </c>
      <c r="H283" s="5" t="s">
        <v>567</v>
      </c>
      <c r="I283" s="7">
        <v>-5</v>
      </c>
      <c r="J283" s="7">
        <v>5</v>
      </c>
      <c r="K283" s="7">
        <v>0</v>
      </c>
      <c r="L283" s="7">
        <v>15883.46</v>
      </c>
      <c r="M283" t="s">
        <v>678</v>
      </c>
      <c r="N283" t="s">
        <v>55</v>
      </c>
      <c r="O283">
        <v>15</v>
      </c>
      <c r="P283" s="5" t="s">
        <v>792</v>
      </c>
    </row>
    <row r="284" spans="1:16">
      <c r="A284" s="4">
        <v>46210</v>
      </c>
      <c r="B284" t="s">
        <v>564</v>
      </c>
      <c r="C284" s="5" t="s">
        <v>725</v>
      </c>
      <c r="D284" t="s">
        <v>566</v>
      </c>
      <c r="E284" t="s">
        <v>5</v>
      </c>
      <c r="F284" t="s">
        <v>25</v>
      </c>
      <c r="G284" t="s">
        <v>35</v>
      </c>
      <c r="H284" s="5" t="s">
        <v>567</v>
      </c>
      <c r="I284" s="7">
        <v>-86.92</v>
      </c>
      <c r="J284" s="7">
        <v>86.92</v>
      </c>
      <c r="K284" s="7">
        <v>0</v>
      </c>
      <c r="L284" s="7">
        <v>15796.54</v>
      </c>
      <c r="M284" t="s">
        <v>678</v>
      </c>
      <c r="N284" t="s">
        <v>55</v>
      </c>
      <c r="O284">
        <v>15</v>
      </c>
      <c r="P284" s="5" t="s">
        <v>793</v>
      </c>
    </row>
    <row r="285" spans="1:16">
      <c r="A285" s="4">
        <v>46210</v>
      </c>
      <c r="B285" t="s">
        <v>794</v>
      </c>
      <c r="C285" s="5" t="s">
        <v>725</v>
      </c>
      <c r="D285" t="s">
        <v>795</v>
      </c>
      <c r="E285" t="s">
        <v>3</v>
      </c>
      <c r="F285" t="s">
        <v>26</v>
      </c>
      <c r="G285" t="s">
        <v>35</v>
      </c>
      <c r="H285" s="5" t="s">
        <v>299</v>
      </c>
      <c r="I285" s="7">
        <v>-12.64</v>
      </c>
      <c r="J285" s="7">
        <v>12.64</v>
      </c>
      <c r="K285" s="7">
        <v>0</v>
      </c>
      <c r="L285" s="7">
        <v>15783.9</v>
      </c>
      <c r="M285" t="s">
        <v>678</v>
      </c>
      <c r="N285" t="s">
        <v>55</v>
      </c>
      <c r="O285">
        <v>15</v>
      </c>
      <c r="P285" s="5" t="s">
        <v>796</v>
      </c>
    </row>
    <row r="286" spans="1:16">
      <c r="A286" s="4">
        <v>46210</v>
      </c>
      <c r="B286" t="s">
        <v>564</v>
      </c>
      <c r="C286" s="5" t="s">
        <v>725</v>
      </c>
      <c r="D286" t="s">
        <v>566</v>
      </c>
      <c r="E286" t="s">
        <v>5</v>
      </c>
      <c r="F286" t="s">
        <v>25</v>
      </c>
      <c r="G286" t="s">
        <v>35</v>
      </c>
      <c r="H286" s="5" t="s">
        <v>567</v>
      </c>
      <c r="I286" s="7">
        <v>-136.83</v>
      </c>
      <c r="J286" s="7">
        <v>136.83</v>
      </c>
      <c r="K286" s="7">
        <v>0</v>
      </c>
      <c r="L286" s="7">
        <v>15647.07</v>
      </c>
      <c r="M286" t="s">
        <v>678</v>
      </c>
      <c r="N286" t="s">
        <v>55</v>
      </c>
      <c r="O286">
        <v>15</v>
      </c>
      <c r="P286" s="5" t="s">
        <v>797</v>
      </c>
    </row>
    <row r="287" spans="1:16">
      <c r="A287" s="4">
        <v>46210</v>
      </c>
      <c r="B287" t="s">
        <v>798</v>
      </c>
      <c r="C287" s="5" t="s">
        <v>725</v>
      </c>
      <c r="D287" t="s">
        <v>799</v>
      </c>
      <c r="E287" t="s">
        <v>3</v>
      </c>
      <c r="F287" t="s">
        <v>26</v>
      </c>
      <c r="G287" t="s">
        <v>35</v>
      </c>
      <c r="H287" s="5" t="s">
        <v>800</v>
      </c>
      <c r="I287" s="7">
        <v>-67.47</v>
      </c>
      <c r="J287" s="7">
        <v>67.47</v>
      </c>
      <c r="K287" s="7">
        <v>0</v>
      </c>
      <c r="L287" s="7">
        <v>15579.6</v>
      </c>
      <c r="M287" t="s">
        <v>678</v>
      </c>
      <c r="N287" t="s">
        <v>55</v>
      </c>
      <c r="O287">
        <v>15</v>
      </c>
      <c r="P287" s="5" t="s">
        <v>801</v>
      </c>
    </row>
    <row r="288" spans="1:16">
      <c r="A288" s="4">
        <v>46210</v>
      </c>
      <c r="B288" t="s">
        <v>178</v>
      </c>
      <c r="C288" s="5" t="s">
        <v>802</v>
      </c>
      <c r="D288" t="s">
        <v>180</v>
      </c>
      <c r="E288" t="s">
        <v>9</v>
      </c>
      <c r="F288" t="s">
        <v>26</v>
      </c>
      <c r="G288" t="s">
        <v>33</v>
      </c>
      <c r="H288" s="5" t="s">
        <v>181</v>
      </c>
      <c r="I288" s="7">
        <v>-71.2</v>
      </c>
      <c r="J288" s="7">
        <v>71.2</v>
      </c>
      <c r="K288" s="7">
        <v>0</v>
      </c>
      <c r="L288" s="7">
        <v>15508.4</v>
      </c>
      <c r="M288" t="s">
        <v>678</v>
      </c>
      <c r="N288" t="s">
        <v>55</v>
      </c>
      <c r="O288">
        <v>15</v>
      </c>
      <c r="P288" s="5" t="s">
        <v>803</v>
      </c>
    </row>
    <row r="289" spans="1:16">
      <c r="A289" s="4">
        <v>46210</v>
      </c>
      <c r="B289" t="s">
        <v>183</v>
      </c>
      <c r="C289" s="5" t="s">
        <v>804</v>
      </c>
      <c r="D289" t="s">
        <v>183</v>
      </c>
      <c r="E289" t="s">
        <v>13</v>
      </c>
      <c r="F289" t="s">
        <v>25</v>
      </c>
      <c r="G289" t="s">
        <v>35</v>
      </c>
      <c r="H289" s="5" t="s">
        <v>185</v>
      </c>
      <c r="I289" s="7">
        <v>-2.49</v>
      </c>
      <c r="J289" s="7">
        <v>2.49</v>
      </c>
      <c r="K289" s="7">
        <v>0</v>
      </c>
      <c r="L289" s="7">
        <v>15505.91</v>
      </c>
      <c r="M289" t="s">
        <v>678</v>
      </c>
      <c r="N289" t="s">
        <v>55</v>
      </c>
      <c r="O289">
        <v>15</v>
      </c>
      <c r="P289" s="5" t="s">
        <v>805</v>
      </c>
    </row>
    <row r="290" spans="1:16">
      <c r="A290" s="4">
        <v>46210</v>
      </c>
      <c r="B290" t="s">
        <v>806</v>
      </c>
      <c r="C290" s="5"/>
      <c r="D290" t="s">
        <v>807</v>
      </c>
      <c r="E290" t="s">
        <v>3</v>
      </c>
      <c r="F290" t="s">
        <v>26</v>
      </c>
      <c r="G290" t="s">
        <v>35</v>
      </c>
      <c r="H290" s="5" t="s">
        <v>75</v>
      </c>
      <c r="I290" s="7">
        <v>-70</v>
      </c>
      <c r="J290" s="7">
        <v>70</v>
      </c>
      <c r="K290" s="7">
        <v>0</v>
      </c>
      <c r="L290" s="7">
        <v>15435.91</v>
      </c>
      <c r="M290" t="s">
        <v>678</v>
      </c>
      <c r="N290" t="s">
        <v>55</v>
      </c>
      <c r="O290">
        <v>15</v>
      </c>
      <c r="P290" s="5" t="s">
        <v>808</v>
      </c>
    </row>
    <row r="291" spans="1:16">
      <c r="A291" s="4">
        <v>46211</v>
      </c>
      <c r="B291" t="s">
        <v>98</v>
      </c>
      <c r="C291" s="5" t="s">
        <v>809</v>
      </c>
      <c r="D291" t="s">
        <v>100</v>
      </c>
      <c r="E291" t="s">
        <v>5</v>
      </c>
      <c r="F291" t="s">
        <v>25</v>
      </c>
      <c r="G291" t="s">
        <v>33</v>
      </c>
      <c r="H291" s="5" t="s">
        <v>101</v>
      </c>
      <c r="I291" s="7">
        <v>-3.3</v>
      </c>
      <c r="J291" s="7">
        <v>3.3</v>
      </c>
      <c r="K291" s="7">
        <v>0</v>
      </c>
      <c r="L291" s="7">
        <v>15432.61</v>
      </c>
      <c r="M291" t="s">
        <v>678</v>
      </c>
      <c r="N291" t="s">
        <v>55</v>
      </c>
      <c r="O291">
        <v>15</v>
      </c>
      <c r="P291" s="5" t="s">
        <v>810</v>
      </c>
    </row>
    <row r="292" spans="1:16">
      <c r="A292" s="4">
        <v>46211</v>
      </c>
      <c r="B292" t="s">
        <v>811</v>
      </c>
      <c r="C292" s="5" t="s">
        <v>763</v>
      </c>
      <c r="D292" t="s">
        <v>812</v>
      </c>
      <c r="E292" t="s">
        <v>3</v>
      </c>
      <c r="F292" t="s">
        <v>26</v>
      </c>
      <c r="G292" t="s">
        <v>35</v>
      </c>
      <c r="H292" s="5" t="s">
        <v>346</v>
      </c>
      <c r="I292" s="7">
        <v>-19.81</v>
      </c>
      <c r="J292" s="7">
        <v>19.81</v>
      </c>
      <c r="K292" s="7">
        <v>0</v>
      </c>
      <c r="L292" s="7">
        <v>15412.8</v>
      </c>
      <c r="M292" t="s">
        <v>678</v>
      </c>
      <c r="N292" t="s">
        <v>55</v>
      </c>
      <c r="O292">
        <v>15</v>
      </c>
      <c r="P292" s="5" t="s">
        <v>813</v>
      </c>
    </row>
    <row r="293" spans="1:16">
      <c r="A293" s="4">
        <v>46211</v>
      </c>
      <c r="B293" t="s">
        <v>98</v>
      </c>
      <c r="C293" s="5" t="s">
        <v>814</v>
      </c>
      <c r="D293" t="s">
        <v>100</v>
      </c>
      <c r="E293" t="s">
        <v>5</v>
      </c>
      <c r="F293" t="s">
        <v>25</v>
      </c>
      <c r="G293" t="s">
        <v>33</v>
      </c>
      <c r="H293" s="5" t="s">
        <v>101</v>
      </c>
      <c r="I293" s="7">
        <v>-7.17</v>
      </c>
      <c r="J293" s="7">
        <v>7.17</v>
      </c>
      <c r="K293" s="7">
        <v>0</v>
      </c>
      <c r="L293" s="7">
        <v>15405.63</v>
      </c>
      <c r="M293" t="s">
        <v>678</v>
      </c>
      <c r="N293" t="s">
        <v>55</v>
      </c>
      <c r="O293">
        <v>16</v>
      </c>
      <c r="P293" s="5" t="s">
        <v>815</v>
      </c>
    </row>
    <row r="294" spans="1:16">
      <c r="A294" s="4">
        <v>46211</v>
      </c>
      <c r="B294" t="s">
        <v>116</v>
      </c>
      <c r="C294" s="5" t="s">
        <v>770</v>
      </c>
      <c r="D294" t="s">
        <v>117</v>
      </c>
      <c r="E294" t="s">
        <v>3</v>
      </c>
      <c r="F294" t="s">
        <v>26</v>
      </c>
      <c r="G294" t="s">
        <v>35</v>
      </c>
      <c r="H294" s="5" t="s">
        <v>118</v>
      </c>
      <c r="I294" s="7">
        <v>-6.6</v>
      </c>
      <c r="J294" s="7">
        <v>6.6</v>
      </c>
      <c r="K294" s="7">
        <v>0</v>
      </c>
      <c r="L294" s="7">
        <v>15399.03</v>
      </c>
      <c r="M294" t="s">
        <v>678</v>
      </c>
      <c r="N294" t="s">
        <v>55</v>
      </c>
      <c r="O294">
        <v>16</v>
      </c>
      <c r="P294" s="5" t="s">
        <v>816</v>
      </c>
    </row>
    <row r="295" spans="1:16">
      <c r="A295" s="4">
        <v>46211</v>
      </c>
      <c r="B295" t="s">
        <v>564</v>
      </c>
      <c r="C295" s="5" t="s">
        <v>814</v>
      </c>
      <c r="D295" t="s">
        <v>566</v>
      </c>
      <c r="E295" t="s">
        <v>5</v>
      </c>
      <c r="F295" t="s">
        <v>25</v>
      </c>
      <c r="G295" t="s">
        <v>35</v>
      </c>
      <c r="H295" s="5" t="s">
        <v>567</v>
      </c>
      <c r="I295" s="7">
        <v>-5</v>
      </c>
      <c r="J295" s="7">
        <v>5</v>
      </c>
      <c r="K295" s="7">
        <v>0</v>
      </c>
      <c r="L295" s="7">
        <v>15394.03</v>
      </c>
      <c r="M295" t="s">
        <v>678</v>
      </c>
      <c r="N295" t="s">
        <v>55</v>
      </c>
      <c r="O295">
        <v>16</v>
      </c>
      <c r="P295" s="5" t="s">
        <v>817</v>
      </c>
    </row>
    <row r="296" spans="1:16">
      <c r="A296" s="4">
        <v>46211</v>
      </c>
      <c r="B296" t="s">
        <v>564</v>
      </c>
      <c r="C296" s="5" t="s">
        <v>814</v>
      </c>
      <c r="D296" t="s">
        <v>566</v>
      </c>
      <c r="E296" t="s">
        <v>5</v>
      </c>
      <c r="F296" t="s">
        <v>25</v>
      </c>
      <c r="G296" t="s">
        <v>35</v>
      </c>
      <c r="H296" s="5" t="s">
        <v>567</v>
      </c>
      <c r="I296" s="7">
        <v>-106.56</v>
      </c>
      <c r="J296" s="7">
        <v>106.56</v>
      </c>
      <c r="K296" s="7">
        <v>0</v>
      </c>
      <c r="L296" s="7">
        <v>15287.47</v>
      </c>
      <c r="M296" t="s">
        <v>678</v>
      </c>
      <c r="N296" t="s">
        <v>55</v>
      </c>
      <c r="O296">
        <v>16</v>
      </c>
      <c r="P296" s="5" t="s">
        <v>818</v>
      </c>
    </row>
    <row r="297" spans="1:16">
      <c r="A297" s="4">
        <v>46211</v>
      </c>
      <c r="B297" t="s">
        <v>759</v>
      </c>
      <c r="C297" s="5"/>
      <c r="D297" t="s">
        <v>760</v>
      </c>
      <c r="E297" t="s">
        <v>5</v>
      </c>
      <c r="F297" t="s">
        <v>25</v>
      </c>
      <c r="G297" t="s">
        <v>33</v>
      </c>
      <c r="H297" s="5" t="s">
        <v>761</v>
      </c>
      <c r="I297" s="7">
        <v>-31.6</v>
      </c>
      <c r="J297" s="7">
        <v>31.6</v>
      </c>
      <c r="K297" s="7">
        <v>0</v>
      </c>
      <c r="L297" s="7">
        <v>15255.87</v>
      </c>
      <c r="M297" t="s">
        <v>678</v>
      </c>
      <c r="N297" t="s">
        <v>55</v>
      </c>
      <c r="O297">
        <v>16</v>
      </c>
      <c r="P297" s="5" t="s">
        <v>819</v>
      </c>
    </row>
    <row r="298" spans="1:16">
      <c r="A298" s="4">
        <v>46211</v>
      </c>
      <c r="B298" t="s">
        <v>820</v>
      </c>
      <c r="C298" s="5"/>
      <c r="D298" t="s">
        <v>821</v>
      </c>
      <c r="E298" t="s">
        <v>17</v>
      </c>
      <c r="F298" t="s">
        <v>29</v>
      </c>
      <c r="G298" s="8" t="s">
        <v>36</v>
      </c>
      <c r="H298" s="5"/>
      <c r="I298" s="7">
        <v>-24.89</v>
      </c>
      <c r="J298" s="7">
        <v>24.89</v>
      </c>
      <c r="K298" s="7">
        <v>0</v>
      </c>
      <c r="L298" s="7">
        <v>15230.98</v>
      </c>
      <c r="M298" t="s">
        <v>678</v>
      </c>
      <c r="N298" t="s">
        <v>55</v>
      </c>
      <c r="O298">
        <v>16</v>
      </c>
      <c r="P298" s="5" t="s">
        <v>822</v>
      </c>
    </row>
    <row r="299" spans="1:16">
      <c r="A299" s="4">
        <v>46211</v>
      </c>
      <c r="B299" t="s">
        <v>823</v>
      </c>
      <c r="C299" s="5"/>
      <c r="D299" t="s">
        <v>824</v>
      </c>
      <c r="E299" t="s">
        <v>17</v>
      </c>
      <c r="F299" t="s">
        <v>29</v>
      </c>
      <c r="G299" s="8" t="s">
        <v>36</v>
      </c>
      <c r="H299" s="5"/>
      <c r="I299" s="7">
        <v>-43.5</v>
      </c>
      <c r="J299" s="7">
        <v>43.5</v>
      </c>
      <c r="K299" s="7">
        <v>0</v>
      </c>
      <c r="L299" s="7">
        <v>15187.48</v>
      </c>
      <c r="M299" t="s">
        <v>678</v>
      </c>
      <c r="N299" t="s">
        <v>55</v>
      </c>
      <c r="O299">
        <v>16</v>
      </c>
      <c r="P299" s="5" t="s">
        <v>825</v>
      </c>
    </row>
    <row r="300" spans="1:16">
      <c r="A300" s="4">
        <v>46211</v>
      </c>
      <c r="B300" t="s">
        <v>826</v>
      </c>
      <c r="C300" s="5"/>
      <c r="D300" t="s">
        <v>826</v>
      </c>
      <c r="E300" t="s">
        <v>6</v>
      </c>
      <c r="F300" t="s">
        <v>26</v>
      </c>
      <c r="G300" t="s">
        <v>35</v>
      </c>
      <c r="H300" s="5" t="s">
        <v>140</v>
      </c>
      <c r="I300" s="7">
        <v>-68</v>
      </c>
      <c r="J300" s="7">
        <v>68</v>
      </c>
      <c r="K300" s="7">
        <v>0</v>
      </c>
      <c r="L300" s="7">
        <v>15119.48</v>
      </c>
      <c r="M300" t="s">
        <v>678</v>
      </c>
      <c r="N300" t="s">
        <v>55</v>
      </c>
      <c r="O300">
        <v>16</v>
      </c>
      <c r="P300" s="5" t="s">
        <v>827</v>
      </c>
    </row>
    <row r="301" spans="1:16">
      <c r="A301" s="4">
        <v>46212</v>
      </c>
      <c r="B301" t="s">
        <v>828</v>
      </c>
      <c r="C301" s="5" t="s">
        <v>829</v>
      </c>
      <c r="D301" t="s">
        <v>830</v>
      </c>
      <c r="E301" t="s">
        <v>15</v>
      </c>
      <c r="F301" t="s">
        <v>27</v>
      </c>
      <c r="G301" t="s">
        <v>33</v>
      </c>
      <c r="H301" s="5" t="s">
        <v>831</v>
      </c>
      <c r="I301" s="7">
        <v>-62.6</v>
      </c>
      <c r="J301" s="7">
        <v>62.6</v>
      </c>
      <c r="K301" s="7">
        <v>0</v>
      </c>
      <c r="L301" s="7">
        <v>15056.88</v>
      </c>
      <c r="M301" t="s">
        <v>678</v>
      </c>
      <c r="N301" t="s">
        <v>55</v>
      </c>
      <c r="O301">
        <v>16</v>
      </c>
      <c r="P301" s="5" t="s">
        <v>832</v>
      </c>
    </row>
    <row r="302" spans="1:16">
      <c r="A302" s="4">
        <v>46212</v>
      </c>
      <c r="B302" t="s">
        <v>98</v>
      </c>
      <c r="C302" s="5" t="s">
        <v>833</v>
      </c>
      <c r="D302" t="s">
        <v>100</v>
      </c>
      <c r="E302" t="s">
        <v>5</v>
      </c>
      <c r="F302" t="s">
        <v>25</v>
      </c>
      <c r="G302" t="s">
        <v>33</v>
      </c>
      <c r="H302" s="5" t="s">
        <v>101</v>
      </c>
      <c r="I302" s="7">
        <v>-3.3</v>
      </c>
      <c r="J302" s="7">
        <v>3.3</v>
      </c>
      <c r="K302" s="7">
        <v>0</v>
      </c>
      <c r="L302" s="7">
        <v>15053.58</v>
      </c>
      <c r="M302" t="s">
        <v>678</v>
      </c>
      <c r="N302" t="s">
        <v>55</v>
      </c>
      <c r="O302">
        <v>16</v>
      </c>
      <c r="P302" s="5" t="s">
        <v>834</v>
      </c>
    </row>
    <row r="303" spans="1:16">
      <c r="A303" s="4">
        <v>46212</v>
      </c>
      <c r="B303" t="s">
        <v>835</v>
      </c>
      <c r="C303" s="5" t="s">
        <v>833</v>
      </c>
      <c r="D303" t="s">
        <v>836</v>
      </c>
      <c r="E303" t="s">
        <v>17</v>
      </c>
      <c r="F303" t="s">
        <v>29</v>
      </c>
      <c r="G303" s="8" t="s">
        <v>36</v>
      </c>
      <c r="H303" s="5"/>
      <c r="I303" s="7">
        <v>-5</v>
      </c>
      <c r="J303" s="7">
        <v>5</v>
      </c>
      <c r="K303" s="7">
        <v>0</v>
      </c>
      <c r="L303" s="7">
        <v>15048.58</v>
      </c>
      <c r="M303" t="s">
        <v>678</v>
      </c>
      <c r="N303" t="s">
        <v>55</v>
      </c>
      <c r="O303">
        <v>16</v>
      </c>
      <c r="P303" s="5" t="s">
        <v>837</v>
      </c>
    </row>
    <row r="304" spans="1:16">
      <c r="A304" s="4">
        <v>46212</v>
      </c>
      <c r="B304" t="s">
        <v>838</v>
      </c>
      <c r="C304" s="5" t="s">
        <v>833</v>
      </c>
      <c r="D304" t="s">
        <v>839</v>
      </c>
      <c r="E304" t="s">
        <v>17</v>
      </c>
      <c r="F304" t="s">
        <v>29</v>
      </c>
      <c r="G304" s="8" t="s">
        <v>36</v>
      </c>
      <c r="H304" s="5"/>
      <c r="I304" s="7">
        <v>-1.45</v>
      </c>
      <c r="J304" s="7">
        <v>1.45</v>
      </c>
      <c r="K304" s="7">
        <v>0</v>
      </c>
      <c r="L304" s="7">
        <v>15047.13</v>
      </c>
      <c r="M304" t="s">
        <v>678</v>
      </c>
      <c r="N304" t="s">
        <v>55</v>
      </c>
      <c r="O304">
        <v>16</v>
      </c>
      <c r="P304" s="5" t="s">
        <v>840</v>
      </c>
    </row>
    <row r="305" spans="1:16">
      <c r="A305" s="4">
        <v>46212</v>
      </c>
      <c r="B305" t="s">
        <v>838</v>
      </c>
      <c r="C305" s="5" t="s">
        <v>833</v>
      </c>
      <c r="D305" t="s">
        <v>839</v>
      </c>
      <c r="E305" t="s">
        <v>17</v>
      </c>
      <c r="F305" t="s">
        <v>29</v>
      </c>
      <c r="G305" s="8" t="s">
        <v>36</v>
      </c>
      <c r="H305" s="5"/>
      <c r="I305" s="7">
        <v>-4.35</v>
      </c>
      <c r="J305" s="7">
        <v>4.35</v>
      </c>
      <c r="K305" s="7">
        <v>0</v>
      </c>
      <c r="L305" s="7">
        <v>15042.78</v>
      </c>
      <c r="M305" t="s">
        <v>678</v>
      </c>
      <c r="N305" t="s">
        <v>55</v>
      </c>
      <c r="O305">
        <v>16</v>
      </c>
      <c r="P305" s="5" t="s">
        <v>841</v>
      </c>
    </row>
    <row r="306" spans="1:16">
      <c r="A306" s="4">
        <v>46212</v>
      </c>
      <c r="B306" t="s">
        <v>759</v>
      </c>
      <c r="C306" s="5"/>
      <c r="D306" t="s">
        <v>760</v>
      </c>
      <c r="E306" t="s">
        <v>5</v>
      </c>
      <c r="F306" t="s">
        <v>25</v>
      </c>
      <c r="G306" t="s">
        <v>33</v>
      </c>
      <c r="H306" s="5" t="s">
        <v>761</v>
      </c>
      <c r="I306" s="7">
        <v>-76.63</v>
      </c>
      <c r="J306" s="7">
        <v>76.63</v>
      </c>
      <c r="K306" s="7">
        <v>0</v>
      </c>
      <c r="L306" s="7">
        <v>14966.15</v>
      </c>
      <c r="M306" t="s">
        <v>678</v>
      </c>
      <c r="N306" t="s">
        <v>55</v>
      </c>
      <c r="O306">
        <v>16</v>
      </c>
      <c r="P306" s="5" t="s">
        <v>842</v>
      </c>
    </row>
    <row r="307" spans="1:16">
      <c r="A307" s="4">
        <v>46212</v>
      </c>
      <c r="B307" t="s">
        <v>843</v>
      </c>
      <c r="C307" s="5"/>
      <c r="D307" t="s">
        <v>844</v>
      </c>
      <c r="E307" t="s">
        <v>17</v>
      </c>
      <c r="F307" t="s">
        <v>29</v>
      </c>
      <c r="G307" s="8" t="s">
        <v>36</v>
      </c>
      <c r="H307" s="5"/>
      <c r="I307" s="7">
        <v>-41.08</v>
      </c>
      <c r="J307" s="7">
        <v>41.08</v>
      </c>
      <c r="K307" s="7">
        <v>0</v>
      </c>
      <c r="L307" s="7">
        <v>14925.07</v>
      </c>
      <c r="M307" t="s">
        <v>678</v>
      </c>
      <c r="N307" t="s">
        <v>55</v>
      </c>
      <c r="O307">
        <v>16</v>
      </c>
      <c r="P307" s="5" t="s">
        <v>845</v>
      </c>
    </row>
    <row r="308" spans="1:16">
      <c r="A308" s="4">
        <v>46212</v>
      </c>
      <c r="B308" t="s">
        <v>846</v>
      </c>
      <c r="C308" s="5"/>
      <c r="D308" t="s">
        <v>847</v>
      </c>
      <c r="E308" t="s">
        <v>3</v>
      </c>
      <c r="F308" t="s">
        <v>26</v>
      </c>
      <c r="G308" t="s">
        <v>35</v>
      </c>
      <c r="H308" s="5" t="s">
        <v>75</v>
      </c>
      <c r="I308" s="7">
        <v>-5.5</v>
      </c>
      <c r="J308" s="7">
        <v>5.5</v>
      </c>
      <c r="K308" s="7">
        <v>0</v>
      </c>
      <c r="L308" s="7">
        <v>14919.57</v>
      </c>
      <c r="M308" t="s">
        <v>678</v>
      </c>
      <c r="N308" t="s">
        <v>55</v>
      </c>
      <c r="O308">
        <v>16</v>
      </c>
      <c r="P308" s="5" t="s">
        <v>848</v>
      </c>
    </row>
    <row r="309" spans="1:16">
      <c r="A309" s="4">
        <v>46212</v>
      </c>
      <c r="B309" t="s">
        <v>276</v>
      </c>
      <c r="C309" s="5" t="s">
        <v>849</v>
      </c>
      <c r="D309" t="s">
        <v>278</v>
      </c>
      <c r="E309" t="s">
        <v>18</v>
      </c>
      <c r="F309" t="s">
        <v>30</v>
      </c>
      <c r="G309" t="s">
        <v>37</v>
      </c>
      <c r="H309" s="5"/>
      <c r="I309" s="7">
        <v>-488.89</v>
      </c>
      <c r="J309" s="7">
        <v>488.89</v>
      </c>
      <c r="K309" s="7">
        <v>0</v>
      </c>
      <c r="L309" s="7">
        <v>14430.68</v>
      </c>
      <c r="M309" t="s">
        <v>678</v>
      </c>
      <c r="N309" t="s">
        <v>55</v>
      </c>
      <c r="O309">
        <v>16</v>
      </c>
      <c r="P309" s="5" t="s">
        <v>850</v>
      </c>
    </row>
    <row r="310" spans="1:16">
      <c r="A310" s="4">
        <v>46212</v>
      </c>
      <c r="B310" t="s">
        <v>318</v>
      </c>
      <c r="C310" s="5" t="s">
        <v>851</v>
      </c>
      <c r="D310" t="s">
        <v>320</v>
      </c>
      <c r="E310" t="s">
        <v>6</v>
      </c>
      <c r="F310" t="s">
        <v>26</v>
      </c>
      <c r="G310" t="s">
        <v>35</v>
      </c>
      <c r="H310" s="5" t="s">
        <v>321</v>
      </c>
      <c r="I310" s="7">
        <v>-30.9</v>
      </c>
      <c r="J310" s="7">
        <v>30.9</v>
      </c>
      <c r="K310" s="7">
        <v>0</v>
      </c>
      <c r="L310" s="7">
        <v>14399.78</v>
      </c>
      <c r="M310" t="s">
        <v>678</v>
      </c>
      <c r="N310" t="s">
        <v>55</v>
      </c>
      <c r="O310">
        <v>16</v>
      </c>
      <c r="P310" s="5" t="s">
        <v>852</v>
      </c>
    </row>
    <row r="311" spans="1:16">
      <c r="A311" s="4">
        <v>46212</v>
      </c>
      <c r="B311" t="s">
        <v>318</v>
      </c>
      <c r="C311" s="5" t="s">
        <v>853</v>
      </c>
      <c r="D311" t="s">
        <v>320</v>
      </c>
      <c r="E311" t="s">
        <v>6</v>
      </c>
      <c r="F311" t="s">
        <v>26</v>
      </c>
      <c r="G311" t="s">
        <v>35</v>
      </c>
      <c r="H311" s="5" t="s">
        <v>321</v>
      </c>
      <c r="I311" s="7">
        <v>-67.8</v>
      </c>
      <c r="J311" s="7">
        <v>67.8</v>
      </c>
      <c r="K311" s="7">
        <v>0</v>
      </c>
      <c r="L311" s="7">
        <v>14331.98</v>
      </c>
      <c r="M311" t="s">
        <v>678</v>
      </c>
      <c r="N311" t="s">
        <v>55</v>
      </c>
      <c r="O311">
        <v>16</v>
      </c>
      <c r="P311" s="5" t="s">
        <v>854</v>
      </c>
    </row>
    <row r="312" spans="1:16">
      <c r="A312" s="4">
        <v>46213</v>
      </c>
      <c r="B312" t="s">
        <v>288</v>
      </c>
      <c r="C312" s="5" t="s">
        <v>855</v>
      </c>
      <c r="D312" t="s">
        <v>289</v>
      </c>
      <c r="E312" t="s">
        <v>4</v>
      </c>
      <c r="F312" t="s">
        <v>25</v>
      </c>
      <c r="G312" t="s">
        <v>35</v>
      </c>
      <c r="H312" s="5" t="s">
        <v>290</v>
      </c>
      <c r="I312" s="7">
        <v>-73.98999999999999</v>
      </c>
      <c r="J312" s="7">
        <v>73.98999999999999</v>
      </c>
      <c r="K312" s="7">
        <v>0</v>
      </c>
      <c r="L312" s="7">
        <v>14257.99</v>
      </c>
      <c r="M312" t="s">
        <v>678</v>
      </c>
      <c r="N312" t="s">
        <v>55</v>
      </c>
      <c r="O312">
        <v>17</v>
      </c>
      <c r="P312" s="5" t="s">
        <v>856</v>
      </c>
    </row>
    <row r="313" spans="1:16">
      <c r="A313" s="4">
        <v>46213</v>
      </c>
      <c r="B313" t="s">
        <v>857</v>
      </c>
      <c r="C313" s="5"/>
      <c r="D313" t="s">
        <v>858</v>
      </c>
      <c r="E313" t="s">
        <v>17</v>
      </c>
      <c r="F313" t="s">
        <v>29</v>
      </c>
      <c r="G313" s="8" t="s">
        <v>36</v>
      </c>
      <c r="H313" s="5"/>
      <c r="I313" s="7">
        <v>-27.56</v>
      </c>
      <c r="J313" s="7">
        <v>27.56</v>
      </c>
      <c r="K313" s="7">
        <v>0</v>
      </c>
      <c r="L313" s="7">
        <v>14230.43</v>
      </c>
      <c r="M313" t="s">
        <v>678</v>
      </c>
      <c r="N313" t="s">
        <v>55</v>
      </c>
      <c r="O313">
        <v>17</v>
      </c>
      <c r="P313" s="5" t="s">
        <v>859</v>
      </c>
    </row>
    <row r="314" spans="1:16">
      <c r="A314" s="4">
        <v>46214</v>
      </c>
      <c r="B314" t="s">
        <v>860</v>
      </c>
      <c r="C314" s="5" t="s">
        <v>861</v>
      </c>
      <c r="D314" t="s">
        <v>862</v>
      </c>
      <c r="E314" t="s">
        <v>17</v>
      </c>
      <c r="F314" t="s">
        <v>29</v>
      </c>
      <c r="G314" s="8" t="s">
        <v>36</v>
      </c>
      <c r="H314" s="5"/>
      <c r="I314" s="7">
        <v>-7</v>
      </c>
      <c r="J314" s="7">
        <v>7</v>
      </c>
      <c r="K314" s="7">
        <v>0</v>
      </c>
      <c r="L314" s="7">
        <v>14223.43</v>
      </c>
      <c r="M314" t="s">
        <v>678</v>
      </c>
      <c r="N314" t="s">
        <v>55</v>
      </c>
      <c r="O314">
        <v>17</v>
      </c>
      <c r="P314" s="5" t="s">
        <v>863</v>
      </c>
    </row>
    <row r="315" spans="1:16">
      <c r="A315" s="4">
        <v>46214</v>
      </c>
      <c r="B315" t="s">
        <v>864</v>
      </c>
      <c r="C315" s="5" t="s">
        <v>855</v>
      </c>
      <c r="D315" t="s">
        <v>865</v>
      </c>
      <c r="E315" t="s">
        <v>3</v>
      </c>
      <c r="F315" t="s">
        <v>26</v>
      </c>
      <c r="G315" t="s">
        <v>35</v>
      </c>
      <c r="H315" s="5" t="s">
        <v>866</v>
      </c>
      <c r="I315" s="7">
        <v>-32.95</v>
      </c>
      <c r="J315" s="7">
        <v>32.95</v>
      </c>
      <c r="K315" s="7">
        <v>0</v>
      </c>
      <c r="L315" s="7">
        <v>14190.48</v>
      </c>
      <c r="M315" t="s">
        <v>678</v>
      </c>
      <c r="N315" t="s">
        <v>55</v>
      </c>
      <c r="O315">
        <v>17</v>
      </c>
      <c r="P315" s="5" t="s">
        <v>867</v>
      </c>
    </row>
    <row r="316" spans="1:16">
      <c r="A316" s="4">
        <v>46214</v>
      </c>
      <c r="B316" t="s">
        <v>868</v>
      </c>
      <c r="C316" s="5"/>
      <c r="D316" t="s">
        <v>869</v>
      </c>
      <c r="E316" t="s">
        <v>9</v>
      </c>
      <c r="F316" t="s">
        <v>27</v>
      </c>
      <c r="G316" s="6" t="s">
        <v>34</v>
      </c>
      <c r="H316" s="5" t="s">
        <v>870</v>
      </c>
      <c r="I316" s="7">
        <v>-507.98</v>
      </c>
      <c r="J316" s="7">
        <v>507.98</v>
      </c>
      <c r="K316" s="7">
        <v>0</v>
      </c>
      <c r="L316" s="7">
        <v>13682.5</v>
      </c>
      <c r="M316" t="s">
        <v>678</v>
      </c>
      <c r="N316" t="s">
        <v>55</v>
      </c>
      <c r="O316">
        <v>17</v>
      </c>
      <c r="P316" s="5" t="s">
        <v>871</v>
      </c>
    </row>
    <row r="317" spans="1:16">
      <c r="A317" s="4">
        <v>46214</v>
      </c>
      <c r="B317" t="s">
        <v>133</v>
      </c>
      <c r="C317" s="5"/>
      <c r="D317" t="s">
        <v>83</v>
      </c>
      <c r="E317" t="s">
        <v>2</v>
      </c>
      <c r="F317" t="s">
        <v>25</v>
      </c>
      <c r="G317" t="s">
        <v>35</v>
      </c>
      <c r="H317" s="5" t="s">
        <v>84</v>
      </c>
      <c r="I317" s="7">
        <v>-7</v>
      </c>
      <c r="J317" s="7">
        <v>7</v>
      </c>
      <c r="K317" s="7">
        <v>0</v>
      </c>
      <c r="L317" s="7">
        <v>13675.5</v>
      </c>
      <c r="M317" t="s">
        <v>678</v>
      </c>
      <c r="N317" t="s">
        <v>55</v>
      </c>
      <c r="O317">
        <v>17</v>
      </c>
      <c r="P317" s="5" t="s">
        <v>872</v>
      </c>
    </row>
    <row r="318" spans="1:16">
      <c r="A318" s="4">
        <v>46215</v>
      </c>
      <c r="B318" t="s">
        <v>205</v>
      </c>
      <c r="C318" s="5"/>
      <c r="D318" t="s">
        <v>206</v>
      </c>
      <c r="E318" t="s">
        <v>3</v>
      </c>
      <c r="F318" t="s">
        <v>26</v>
      </c>
      <c r="G318" t="s">
        <v>35</v>
      </c>
      <c r="H318" s="5" t="s">
        <v>207</v>
      </c>
      <c r="I318" s="7">
        <v>-17.25</v>
      </c>
      <c r="J318" s="7">
        <v>17.25</v>
      </c>
      <c r="K318" s="7">
        <v>0</v>
      </c>
      <c r="L318" s="7">
        <v>13658.25</v>
      </c>
      <c r="M318" t="s">
        <v>678</v>
      </c>
      <c r="N318" t="s">
        <v>55</v>
      </c>
      <c r="O318">
        <v>17</v>
      </c>
      <c r="P318" s="5" t="s">
        <v>873</v>
      </c>
    </row>
    <row r="319" spans="1:16">
      <c r="A319" s="4">
        <v>46215</v>
      </c>
      <c r="B319" t="s">
        <v>874</v>
      </c>
      <c r="C319" s="5"/>
      <c r="D319" t="s">
        <v>875</v>
      </c>
      <c r="E319" t="s">
        <v>3</v>
      </c>
      <c r="F319" t="s">
        <v>26</v>
      </c>
      <c r="G319" t="s">
        <v>35</v>
      </c>
      <c r="H319" s="5" t="s">
        <v>316</v>
      </c>
      <c r="I319" s="7">
        <v>-10.8</v>
      </c>
      <c r="J319" s="7">
        <v>10.8</v>
      </c>
      <c r="K319" s="7">
        <v>0</v>
      </c>
      <c r="L319" s="7">
        <v>13647.45</v>
      </c>
      <c r="M319" t="s">
        <v>678</v>
      </c>
      <c r="N319" t="s">
        <v>55</v>
      </c>
      <c r="O319">
        <v>17</v>
      </c>
      <c r="P319" s="5" t="s">
        <v>876</v>
      </c>
    </row>
    <row r="320" spans="1:16">
      <c r="A320" s="4">
        <v>46215</v>
      </c>
      <c r="B320" t="s">
        <v>877</v>
      </c>
      <c r="C320" s="5"/>
      <c r="D320" t="s">
        <v>878</v>
      </c>
      <c r="E320" t="s">
        <v>17</v>
      </c>
      <c r="F320" t="s">
        <v>29</v>
      </c>
      <c r="G320" s="8" t="s">
        <v>36</v>
      </c>
      <c r="H320" s="5"/>
      <c r="I320" s="7">
        <v>-36.49</v>
      </c>
      <c r="J320" s="7">
        <v>36.49</v>
      </c>
      <c r="K320" s="7">
        <v>0</v>
      </c>
      <c r="L320" s="7">
        <v>13610.96</v>
      </c>
      <c r="M320" t="s">
        <v>678</v>
      </c>
      <c r="N320" t="s">
        <v>55</v>
      </c>
      <c r="O320">
        <v>17</v>
      </c>
      <c r="P320" s="5" t="s">
        <v>879</v>
      </c>
    </row>
    <row r="321" spans="1:16">
      <c r="A321" s="4">
        <v>46215</v>
      </c>
      <c r="B321" t="s">
        <v>880</v>
      </c>
      <c r="C321" s="5"/>
      <c r="D321" t="s">
        <v>880</v>
      </c>
      <c r="E321" t="s">
        <v>17</v>
      </c>
      <c r="F321" t="s">
        <v>29</v>
      </c>
      <c r="G321" s="8" t="s">
        <v>36</v>
      </c>
      <c r="H321" s="5"/>
      <c r="I321" s="7">
        <v>-5.57</v>
      </c>
      <c r="J321" s="7">
        <v>5.57</v>
      </c>
      <c r="K321" s="7">
        <v>0</v>
      </c>
      <c r="L321" s="7">
        <v>13605.39</v>
      </c>
      <c r="M321" t="s">
        <v>678</v>
      </c>
      <c r="N321" t="s">
        <v>55</v>
      </c>
      <c r="O321">
        <v>17</v>
      </c>
      <c r="P321" s="5" t="s">
        <v>881</v>
      </c>
    </row>
    <row r="322" spans="1:16">
      <c r="A322" s="4">
        <v>46215</v>
      </c>
      <c r="B322" t="s">
        <v>196</v>
      </c>
      <c r="C322" s="5"/>
      <c r="D322" t="s">
        <v>197</v>
      </c>
      <c r="E322" t="s">
        <v>8</v>
      </c>
      <c r="F322" t="s">
        <v>26</v>
      </c>
      <c r="G322" t="s">
        <v>35</v>
      </c>
      <c r="H322" s="5" t="s">
        <v>198</v>
      </c>
      <c r="I322" s="7">
        <v>-12.9</v>
      </c>
      <c r="J322" s="7">
        <v>12.9</v>
      </c>
      <c r="K322" s="7">
        <v>0</v>
      </c>
      <c r="L322" s="7">
        <v>13592.49</v>
      </c>
      <c r="M322" t="s">
        <v>678</v>
      </c>
      <c r="N322" t="s">
        <v>55</v>
      </c>
      <c r="O322">
        <v>17</v>
      </c>
      <c r="P322" s="5" t="s">
        <v>882</v>
      </c>
    </row>
    <row r="323" spans="1:16">
      <c r="A323" s="4">
        <v>46216</v>
      </c>
      <c r="B323" t="s">
        <v>883</v>
      </c>
      <c r="C323" s="5"/>
      <c r="D323" t="s">
        <v>884</v>
      </c>
      <c r="E323" t="s">
        <v>17</v>
      </c>
      <c r="F323" t="s">
        <v>29</v>
      </c>
      <c r="G323" s="8" t="s">
        <v>36</v>
      </c>
      <c r="H323" s="5"/>
      <c r="I323" s="7">
        <v>-7.14</v>
      </c>
      <c r="J323" s="7">
        <v>7.14</v>
      </c>
      <c r="K323" s="7">
        <v>0</v>
      </c>
      <c r="L323" s="7">
        <v>13585.35</v>
      </c>
      <c r="M323" t="s">
        <v>678</v>
      </c>
      <c r="N323" t="s">
        <v>55</v>
      </c>
      <c r="O323">
        <v>17</v>
      </c>
      <c r="P323" s="5" t="s">
        <v>885</v>
      </c>
    </row>
    <row r="324" spans="1:16">
      <c r="A324" s="4">
        <v>46216</v>
      </c>
      <c r="B324" t="s">
        <v>886</v>
      </c>
      <c r="C324" s="5"/>
      <c r="D324" t="s">
        <v>887</v>
      </c>
      <c r="E324" t="s">
        <v>17</v>
      </c>
      <c r="F324" t="s">
        <v>29</v>
      </c>
      <c r="G324" s="8" t="s">
        <v>36</v>
      </c>
      <c r="H324" s="5"/>
      <c r="I324" s="7">
        <v>-24</v>
      </c>
      <c r="J324" s="7">
        <v>24</v>
      </c>
      <c r="K324" s="7">
        <v>0</v>
      </c>
      <c r="L324" s="7">
        <v>13561.35</v>
      </c>
      <c r="M324" t="s">
        <v>678</v>
      </c>
      <c r="N324" t="s">
        <v>55</v>
      </c>
      <c r="O324">
        <v>17</v>
      </c>
      <c r="P324" s="5" t="s">
        <v>888</v>
      </c>
    </row>
    <row r="325" spans="1:16">
      <c r="A325" s="4">
        <v>46216</v>
      </c>
      <c r="B325" t="s">
        <v>889</v>
      </c>
      <c r="C325" s="5" t="s">
        <v>890</v>
      </c>
      <c r="D325" t="s">
        <v>889</v>
      </c>
      <c r="E325" t="s">
        <v>19</v>
      </c>
      <c r="F325" t="s">
        <v>30</v>
      </c>
      <c r="G325" t="s">
        <v>37</v>
      </c>
      <c r="H325" s="5"/>
      <c r="I325" s="7">
        <v>20001.4</v>
      </c>
      <c r="J325" s="7">
        <v>0</v>
      </c>
      <c r="K325" s="7">
        <v>20001.4</v>
      </c>
      <c r="L325" s="7">
        <v>33562.75</v>
      </c>
      <c r="M325" t="s">
        <v>678</v>
      </c>
      <c r="N325" t="s">
        <v>55</v>
      </c>
      <c r="O325">
        <v>17</v>
      </c>
      <c r="P325" s="5" t="s">
        <v>891</v>
      </c>
    </row>
    <row r="326" spans="1:16">
      <c r="A326" s="4">
        <v>46217</v>
      </c>
      <c r="B326" t="s">
        <v>98</v>
      </c>
      <c r="C326" s="5" t="s">
        <v>892</v>
      </c>
      <c r="D326" t="s">
        <v>100</v>
      </c>
      <c r="E326" t="s">
        <v>5</v>
      </c>
      <c r="F326" t="s">
        <v>25</v>
      </c>
      <c r="G326" t="s">
        <v>33</v>
      </c>
      <c r="H326" s="5" t="s">
        <v>101</v>
      </c>
      <c r="I326" s="7">
        <v>-9.65</v>
      </c>
      <c r="J326" s="7">
        <v>9.65</v>
      </c>
      <c r="K326" s="7">
        <v>0</v>
      </c>
      <c r="L326" s="7">
        <v>33553.1</v>
      </c>
      <c r="M326" t="s">
        <v>678</v>
      </c>
      <c r="N326" t="s">
        <v>55</v>
      </c>
      <c r="O326">
        <v>17</v>
      </c>
      <c r="P326" s="5" t="s">
        <v>893</v>
      </c>
    </row>
    <row r="327" spans="1:16">
      <c r="A327" s="4">
        <v>46217</v>
      </c>
      <c r="B327" t="s">
        <v>98</v>
      </c>
      <c r="C327" s="5" t="s">
        <v>894</v>
      </c>
      <c r="D327" t="s">
        <v>100</v>
      </c>
      <c r="E327" t="s">
        <v>5</v>
      </c>
      <c r="F327" t="s">
        <v>25</v>
      </c>
      <c r="G327" t="s">
        <v>33</v>
      </c>
      <c r="H327" s="5" t="s">
        <v>101</v>
      </c>
      <c r="I327" s="7">
        <v>-2.31</v>
      </c>
      <c r="J327" s="7">
        <v>2.31</v>
      </c>
      <c r="K327" s="7">
        <v>0</v>
      </c>
      <c r="L327" s="7">
        <v>33550.79</v>
      </c>
      <c r="M327" t="s">
        <v>678</v>
      </c>
      <c r="N327" t="s">
        <v>55</v>
      </c>
      <c r="O327">
        <v>17</v>
      </c>
      <c r="P327" s="5" t="s">
        <v>895</v>
      </c>
    </row>
    <row r="328" spans="1:16">
      <c r="A328" s="4">
        <v>46217</v>
      </c>
      <c r="B328" t="s">
        <v>896</v>
      </c>
      <c r="C328" s="5" t="s">
        <v>897</v>
      </c>
      <c r="D328" t="s">
        <v>898</v>
      </c>
      <c r="E328" t="s">
        <v>8</v>
      </c>
      <c r="F328" t="s">
        <v>26</v>
      </c>
      <c r="G328" t="s">
        <v>35</v>
      </c>
      <c r="H328" s="5" t="s">
        <v>467</v>
      </c>
      <c r="I328" s="7">
        <v>-12.5</v>
      </c>
      <c r="J328" s="7">
        <v>12.5</v>
      </c>
      <c r="K328" s="7">
        <v>0</v>
      </c>
      <c r="L328" s="7">
        <v>33538.29</v>
      </c>
      <c r="M328" t="s">
        <v>678</v>
      </c>
      <c r="N328" t="s">
        <v>55</v>
      </c>
      <c r="O328">
        <v>17</v>
      </c>
      <c r="P328" s="5" t="s">
        <v>899</v>
      </c>
    </row>
    <row r="329" spans="1:16">
      <c r="A329" s="4">
        <v>46217</v>
      </c>
      <c r="B329" t="s">
        <v>900</v>
      </c>
      <c r="C329" s="5" t="s">
        <v>901</v>
      </c>
      <c r="D329" t="s">
        <v>902</v>
      </c>
      <c r="E329" t="s">
        <v>3</v>
      </c>
      <c r="F329" t="s">
        <v>26</v>
      </c>
      <c r="G329" t="s">
        <v>35</v>
      </c>
      <c r="H329" s="5" t="s">
        <v>903</v>
      </c>
      <c r="I329" s="7">
        <v>-144.87</v>
      </c>
      <c r="J329" s="7">
        <v>144.87</v>
      </c>
      <c r="K329" s="7">
        <v>0</v>
      </c>
      <c r="L329" s="7">
        <v>33393.42</v>
      </c>
      <c r="M329" t="s">
        <v>678</v>
      </c>
      <c r="N329" t="s">
        <v>55</v>
      </c>
      <c r="O329">
        <v>17</v>
      </c>
      <c r="P329" s="5" t="s">
        <v>904</v>
      </c>
    </row>
    <row r="330" spans="1:16">
      <c r="A330" s="4">
        <v>46217</v>
      </c>
      <c r="B330" t="s">
        <v>905</v>
      </c>
      <c r="C330" s="5" t="s">
        <v>901</v>
      </c>
      <c r="D330" t="s">
        <v>906</v>
      </c>
      <c r="E330" t="s">
        <v>3</v>
      </c>
      <c r="F330" t="s">
        <v>26</v>
      </c>
      <c r="G330" t="s">
        <v>35</v>
      </c>
      <c r="H330" s="5" t="s">
        <v>299</v>
      </c>
      <c r="I330" s="7">
        <v>-7.33</v>
      </c>
      <c r="J330" s="7">
        <v>7.33</v>
      </c>
      <c r="K330" s="7">
        <v>0</v>
      </c>
      <c r="L330" s="7">
        <v>33386.09</v>
      </c>
      <c r="M330" t="s">
        <v>678</v>
      </c>
      <c r="N330" t="s">
        <v>55</v>
      </c>
      <c r="O330">
        <v>17</v>
      </c>
      <c r="P330" s="5" t="s">
        <v>907</v>
      </c>
    </row>
    <row r="331" spans="1:16">
      <c r="A331" s="4">
        <v>46217</v>
      </c>
      <c r="B331" t="s">
        <v>384</v>
      </c>
      <c r="C331" s="5" t="s">
        <v>897</v>
      </c>
      <c r="D331" t="s">
        <v>385</v>
      </c>
      <c r="E331" t="s">
        <v>3</v>
      </c>
      <c r="F331" t="s">
        <v>26</v>
      </c>
      <c r="G331" t="s">
        <v>35</v>
      </c>
      <c r="H331" s="5" t="s">
        <v>93</v>
      </c>
      <c r="I331" s="7">
        <v>-64.5</v>
      </c>
      <c r="J331" s="7">
        <v>64.5</v>
      </c>
      <c r="K331" s="7">
        <v>0</v>
      </c>
      <c r="L331" s="7">
        <v>33321.59</v>
      </c>
      <c r="M331" t="s">
        <v>678</v>
      </c>
      <c r="N331" t="s">
        <v>55</v>
      </c>
      <c r="O331">
        <v>17</v>
      </c>
      <c r="P331" s="5" t="s">
        <v>908</v>
      </c>
    </row>
    <row r="332" spans="1:16">
      <c r="A332" s="4">
        <v>46217</v>
      </c>
      <c r="B332" t="s">
        <v>909</v>
      </c>
      <c r="C332" s="5" t="s">
        <v>910</v>
      </c>
      <c r="D332" t="s">
        <v>911</v>
      </c>
      <c r="E332" t="s">
        <v>17</v>
      </c>
      <c r="F332" t="s">
        <v>29</v>
      </c>
      <c r="G332" s="8" t="s">
        <v>36</v>
      </c>
      <c r="H332" s="5"/>
      <c r="I332" s="7">
        <v>-31.97</v>
      </c>
      <c r="J332" s="7">
        <v>31.97</v>
      </c>
      <c r="K332" s="7">
        <v>0</v>
      </c>
      <c r="L332" s="7">
        <v>33289.62</v>
      </c>
      <c r="M332" t="s">
        <v>678</v>
      </c>
      <c r="N332" t="s">
        <v>55</v>
      </c>
      <c r="O332">
        <v>17</v>
      </c>
      <c r="P332" s="5" t="s">
        <v>912</v>
      </c>
    </row>
    <row r="333" spans="1:16">
      <c r="A333" s="4">
        <v>46217</v>
      </c>
      <c r="B333" t="s">
        <v>838</v>
      </c>
      <c r="C333" s="5" t="s">
        <v>910</v>
      </c>
      <c r="D333" t="s">
        <v>839</v>
      </c>
      <c r="E333" t="s">
        <v>17</v>
      </c>
      <c r="F333" t="s">
        <v>29</v>
      </c>
      <c r="G333" s="8" t="s">
        <v>36</v>
      </c>
      <c r="H333" s="5"/>
      <c r="I333" s="7">
        <v>-11.6</v>
      </c>
      <c r="J333" s="7">
        <v>11.6</v>
      </c>
      <c r="K333" s="7">
        <v>0</v>
      </c>
      <c r="L333" s="7">
        <v>33278.02</v>
      </c>
      <c r="M333" t="s">
        <v>678</v>
      </c>
      <c r="N333" t="s">
        <v>55</v>
      </c>
      <c r="O333">
        <v>18</v>
      </c>
      <c r="P333" s="5" t="s">
        <v>913</v>
      </c>
    </row>
    <row r="334" spans="1:16">
      <c r="A334" s="4">
        <v>46217</v>
      </c>
      <c r="B334" t="s">
        <v>914</v>
      </c>
      <c r="C334" s="5" t="s">
        <v>910</v>
      </c>
      <c r="D334" t="s">
        <v>915</v>
      </c>
      <c r="E334" t="s">
        <v>17</v>
      </c>
      <c r="F334" t="s">
        <v>29</v>
      </c>
      <c r="G334" s="8" t="s">
        <v>36</v>
      </c>
      <c r="H334" s="5"/>
      <c r="I334" s="7">
        <v>-91.36</v>
      </c>
      <c r="J334" s="7">
        <v>91.36</v>
      </c>
      <c r="K334" s="7">
        <v>0</v>
      </c>
      <c r="L334" s="7">
        <v>33186.66</v>
      </c>
      <c r="M334" t="s">
        <v>678</v>
      </c>
      <c r="N334" t="s">
        <v>55</v>
      </c>
      <c r="O334">
        <v>18</v>
      </c>
      <c r="P334" s="5" t="s">
        <v>916</v>
      </c>
    </row>
    <row r="335" spans="1:16">
      <c r="A335" s="4">
        <v>46217</v>
      </c>
      <c r="B335" t="s">
        <v>917</v>
      </c>
      <c r="C335" s="5" t="s">
        <v>910</v>
      </c>
      <c r="D335" t="s">
        <v>918</v>
      </c>
      <c r="E335" t="s">
        <v>17</v>
      </c>
      <c r="F335" t="s">
        <v>29</v>
      </c>
      <c r="G335" s="8" t="s">
        <v>36</v>
      </c>
      <c r="H335" s="5"/>
      <c r="I335" s="7">
        <v>-30.53</v>
      </c>
      <c r="J335" s="7">
        <v>30.53</v>
      </c>
      <c r="K335" s="7">
        <v>0</v>
      </c>
      <c r="L335" s="7">
        <v>33156.13</v>
      </c>
      <c r="M335" t="s">
        <v>678</v>
      </c>
      <c r="N335" t="s">
        <v>55</v>
      </c>
      <c r="O335">
        <v>18</v>
      </c>
      <c r="P335" s="5" t="s">
        <v>919</v>
      </c>
    </row>
    <row r="336" spans="1:16">
      <c r="A336" s="4">
        <v>46217</v>
      </c>
      <c r="B336" t="s">
        <v>920</v>
      </c>
      <c r="C336" s="5" t="s">
        <v>861</v>
      </c>
      <c r="D336" t="s">
        <v>921</v>
      </c>
      <c r="E336" t="s">
        <v>3</v>
      </c>
      <c r="F336" t="s">
        <v>26</v>
      </c>
      <c r="G336" t="s">
        <v>35</v>
      </c>
      <c r="H336" s="5" t="s">
        <v>866</v>
      </c>
      <c r="I336" s="7">
        <v>-31</v>
      </c>
      <c r="J336" s="7">
        <v>31</v>
      </c>
      <c r="K336" s="7">
        <v>0</v>
      </c>
      <c r="L336" s="7">
        <v>33125.13</v>
      </c>
      <c r="M336" t="s">
        <v>678</v>
      </c>
      <c r="N336" t="s">
        <v>55</v>
      </c>
      <c r="O336">
        <v>18</v>
      </c>
      <c r="P336" s="5" t="s">
        <v>922</v>
      </c>
    </row>
    <row r="337" spans="1:16">
      <c r="A337" s="4">
        <v>46217</v>
      </c>
      <c r="B337" t="s">
        <v>51</v>
      </c>
      <c r="C337" s="5"/>
      <c r="D337" t="s">
        <v>52</v>
      </c>
      <c r="E337" t="s">
        <v>3</v>
      </c>
      <c r="F337" t="s">
        <v>26</v>
      </c>
      <c r="G337" s="6" t="s">
        <v>34</v>
      </c>
      <c r="H337" s="5" t="s">
        <v>53</v>
      </c>
      <c r="I337" s="7">
        <v>-7.1</v>
      </c>
      <c r="J337" s="7">
        <v>7.1</v>
      </c>
      <c r="K337" s="7">
        <v>0</v>
      </c>
      <c r="L337" s="7">
        <v>33118.03</v>
      </c>
      <c r="M337" t="s">
        <v>678</v>
      </c>
      <c r="N337" t="s">
        <v>55</v>
      </c>
      <c r="O337">
        <v>18</v>
      </c>
      <c r="P337" s="5" t="s">
        <v>923</v>
      </c>
    </row>
    <row r="338" spans="1:16">
      <c r="A338" s="4">
        <v>46217</v>
      </c>
      <c r="B338" t="s">
        <v>924</v>
      </c>
      <c r="C338" s="5"/>
      <c r="D338" t="s">
        <v>925</v>
      </c>
      <c r="E338" t="s">
        <v>23</v>
      </c>
      <c r="F338" t="s">
        <v>28</v>
      </c>
      <c r="G338" s="6" t="s">
        <v>34</v>
      </c>
      <c r="H338" s="5" t="s">
        <v>926</v>
      </c>
      <c r="I338" s="7">
        <v>-391.93</v>
      </c>
      <c r="J338" s="7">
        <v>391.93</v>
      </c>
      <c r="K338" s="7">
        <v>0</v>
      </c>
      <c r="L338" s="7">
        <v>32726.1</v>
      </c>
      <c r="M338" t="s">
        <v>678</v>
      </c>
      <c r="N338" t="s">
        <v>55</v>
      </c>
      <c r="O338">
        <v>18</v>
      </c>
      <c r="P338" s="5" t="s">
        <v>927</v>
      </c>
    </row>
    <row r="339" spans="1:16">
      <c r="A339" s="4">
        <v>46218</v>
      </c>
      <c r="B339" t="s">
        <v>98</v>
      </c>
      <c r="C339" s="5" t="s">
        <v>928</v>
      </c>
      <c r="D339" t="s">
        <v>100</v>
      </c>
      <c r="E339" t="s">
        <v>5</v>
      </c>
      <c r="F339" t="s">
        <v>25</v>
      </c>
      <c r="G339" t="s">
        <v>33</v>
      </c>
      <c r="H339" s="5" t="s">
        <v>101</v>
      </c>
      <c r="I339" s="7">
        <v>-5.77</v>
      </c>
      <c r="J339" s="7">
        <v>5.77</v>
      </c>
      <c r="K339" s="7">
        <v>0</v>
      </c>
      <c r="L339" s="7">
        <v>32720.33</v>
      </c>
      <c r="M339" t="s">
        <v>678</v>
      </c>
      <c r="N339" t="s">
        <v>55</v>
      </c>
      <c r="O339">
        <v>18</v>
      </c>
      <c r="P339" s="5" t="s">
        <v>929</v>
      </c>
    </row>
    <row r="340" spans="1:16">
      <c r="A340" s="4">
        <v>46218</v>
      </c>
      <c r="B340" t="s">
        <v>930</v>
      </c>
      <c r="C340" s="5" t="s">
        <v>931</v>
      </c>
      <c r="D340" t="s">
        <v>932</v>
      </c>
      <c r="E340" t="s">
        <v>21</v>
      </c>
      <c r="F340" t="s">
        <v>31</v>
      </c>
      <c r="G340" t="s">
        <v>37</v>
      </c>
      <c r="H340" s="5"/>
      <c r="I340" s="7">
        <v>146.93</v>
      </c>
      <c r="J340" s="7">
        <v>0</v>
      </c>
      <c r="K340" s="7">
        <v>146.93</v>
      </c>
      <c r="L340" s="7">
        <v>32867.26</v>
      </c>
      <c r="M340" t="s">
        <v>678</v>
      </c>
      <c r="N340" t="s">
        <v>55</v>
      </c>
      <c r="O340">
        <v>18</v>
      </c>
      <c r="P340" s="5" t="s">
        <v>933</v>
      </c>
    </row>
    <row r="341" spans="1:16">
      <c r="A341" s="4">
        <v>46218</v>
      </c>
      <c r="B341" t="s">
        <v>930</v>
      </c>
      <c r="C341" s="5" t="s">
        <v>931</v>
      </c>
      <c r="D341" t="s">
        <v>932</v>
      </c>
      <c r="E341" t="s">
        <v>21</v>
      </c>
      <c r="F341" t="s">
        <v>31</v>
      </c>
      <c r="G341" t="s">
        <v>37</v>
      </c>
      <c r="H341" s="5"/>
      <c r="I341" s="7">
        <v>61.69</v>
      </c>
      <c r="J341" s="7">
        <v>0</v>
      </c>
      <c r="K341" s="7">
        <v>61.69</v>
      </c>
      <c r="L341" s="7">
        <v>32928.95</v>
      </c>
      <c r="M341" t="s">
        <v>678</v>
      </c>
      <c r="N341" t="s">
        <v>55</v>
      </c>
      <c r="O341">
        <v>18</v>
      </c>
      <c r="P341" s="5" t="s">
        <v>934</v>
      </c>
    </row>
    <row r="342" spans="1:16">
      <c r="A342" s="4">
        <v>46218</v>
      </c>
      <c r="B342" t="s">
        <v>98</v>
      </c>
      <c r="C342" s="5" t="s">
        <v>935</v>
      </c>
      <c r="D342" t="s">
        <v>100</v>
      </c>
      <c r="E342" t="s">
        <v>5</v>
      </c>
      <c r="F342" t="s">
        <v>25</v>
      </c>
      <c r="G342" t="s">
        <v>33</v>
      </c>
      <c r="H342" s="5" t="s">
        <v>101</v>
      </c>
      <c r="I342" s="7">
        <v>-23.99</v>
      </c>
      <c r="J342" s="7">
        <v>23.99</v>
      </c>
      <c r="K342" s="7">
        <v>0</v>
      </c>
      <c r="L342" s="7">
        <v>32904.96</v>
      </c>
      <c r="M342" t="s">
        <v>678</v>
      </c>
      <c r="N342" t="s">
        <v>55</v>
      </c>
      <c r="O342">
        <v>18</v>
      </c>
      <c r="P342" s="5" t="s">
        <v>936</v>
      </c>
    </row>
    <row r="343" spans="1:16">
      <c r="A343" s="4">
        <v>46218</v>
      </c>
      <c r="B343" t="s">
        <v>98</v>
      </c>
      <c r="C343" s="5" t="s">
        <v>937</v>
      </c>
      <c r="D343" t="s">
        <v>100</v>
      </c>
      <c r="E343" t="s">
        <v>5</v>
      </c>
      <c r="F343" t="s">
        <v>25</v>
      </c>
      <c r="G343" t="s">
        <v>33</v>
      </c>
      <c r="H343" s="5" t="s">
        <v>101</v>
      </c>
      <c r="I343" s="7">
        <v>-4.03</v>
      </c>
      <c r="J343" s="7">
        <v>4.03</v>
      </c>
      <c r="K343" s="7">
        <v>0</v>
      </c>
      <c r="L343" s="7">
        <v>32900.93</v>
      </c>
      <c r="M343" t="s">
        <v>678</v>
      </c>
      <c r="N343" t="s">
        <v>55</v>
      </c>
      <c r="O343">
        <v>18</v>
      </c>
      <c r="P343" s="5" t="s">
        <v>938</v>
      </c>
    </row>
    <row r="344" spans="1:16">
      <c r="A344" s="4">
        <v>46218</v>
      </c>
      <c r="B344" t="s">
        <v>120</v>
      </c>
      <c r="C344" s="5" t="s">
        <v>897</v>
      </c>
      <c r="D344" t="s">
        <v>121</v>
      </c>
      <c r="E344" t="s">
        <v>2</v>
      </c>
      <c r="F344" t="s">
        <v>25</v>
      </c>
      <c r="G344" t="s">
        <v>35</v>
      </c>
      <c r="H344" s="5" t="s">
        <v>122</v>
      </c>
      <c r="I344" s="7">
        <v>-5.66</v>
      </c>
      <c r="J344" s="7">
        <v>5.66</v>
      </c>
      <c r="K344" s="7">
        <v>0</v>
      </c>
      <c r="L344" s="7">
        <v>32895.27</v>
      </c>
      <c r="M344" t="s">
        <v>678</v>
      </c>
      <c r="N344" t="s">
        <v>55</v>
      </c>
      <c r="O344">
        <v>18</v>
      </c>
      <c r="P344" s="5" t="s">
        <v>939</v>
      </c>
    </row>
    <row r="345" spans="1:16">
      <c r="A345" s="4">
        <v>46218</v>
      </c>
      <c r="B345" t="s">
        <v>564</v>
      </c>
      <c r="C345" s="5" t="s">
        <v>937</v>
      </c>
      <c r="D345" t="s">
        <v>566</v>
      </c>
      <c r="E345" t="s">
        <v>5</v>
      </c>
      <c r="F345" t="s">
        <v>25</v>
      </c>
      <c r="G345" t="s">
        <v>35</v>
      </c>
      <c r="H345" s="5" t="s">
        <v>567</v>
      </c>
      <c r="I345" s="7">
        <v>-148.97</v>
      </c>
      <c r="J345" s="7">
        <v>148.97</v>
      </c>
      <c r="K345" s="7">
        <v>0</v>
      </c>
      <c r="L345" s="7">
        <v>32746.3</v>
      </c>
      <c r="M345" t="s">
        <v>678</v>
      </c>
      <c r="N345" t="s">
        <v>55</v>
      </c>
      <c r="O345">
        <v>18</v>
      </c>
      <c r="P345" s="5" t="s">
        <v>940</v>
      </c>
    </row>
    <row r="346" spans="1:16">
      <c r="A346" s="4">
        <v>46218</v>
      </c>
      <c r="B346" t="s">
        <v>564</v>
      </c>
      <c r="C346" s="5" t="s">
        <v>937</v>
      </c>
      <c r="D346" t="s">
        <v>566</v>
      </c>
      <c r="E346" t="s">
        <v>5</v>
      </c>
      <c r="F346" t="s">
        <v>25</v>
      </c>
      <c r="G346" t="s">
        <v>35</v>
      </c>
      <c r="H346" s="5" t="s">
        <v>567</v>
      </c>
      <c r="I346" s="7">
        <v>-10</v>
      </c>
      <c r="J346" s="7">
        <v>10</v>
      </c>
      <c r="K346" s="7">
        <v>0</v>
      </c>
      <c r="L346" s="7">
        <v>32736.3</v>
      </c>
      <c r="M346" t="s">
        <v>678</v>
      </c>
      <c r="N346" t="s">
        <v>55</v>
      </c>
      <c r="O346">
        <v>18</v>
      </c>
      <c r="P346" s="5" t="s">
        <v>941</v>
      </c>
    </row>
    <row r="347" spans="1:16">
      <c r="A347" s="4">
        <v>46218</v>
      </c>
      <c r="B347" t="s">
        <v>81</v>
      </c>
      <c r="C347" s="5" t="s">
        <v>937</v>
      </c>
      <c r="D347" t="s">
        <v>83</v>
      </c>
      <c r="E347" t="s">
        <v>2</v>
      </c>
      <c r="F347" t="s">
        <v>25</v>
      </c>
      <c r="G347" t="s">
        <v>35</v>
      </c>
      <c r="H347" s="5" t="s">
        <v>84</v>
      </c>
      <c r="I347" s="7">
        <v>-83.06</v>
      </c>
      <c r="J347" s="7">
        <v>83.06</v>
      </c>
      <c r="K347" s="7">
        <v>0</v>
      </c>
      <c r="L347" s="7">
        <v>32653.24</v>
      </c>
      <c r="M347" t="s">
        <v>678</v>
      </c>
      <c r="N347" t="s">
        <v>55</v>
      </c>
      <c r="O347">
        <v>18</v>
      </c>
      <c r="P347" s="5" t="s">
        <v>942</v>
      </c>
    </row>
    <row r="348" spans="1:16">
      <c r="A348" s="4">
        <v>46218</v>
      </c>
      <c r="B348" t="s">
        <v>943</v>
      </c>
      <c r="C348" s="5"/>
      <c r="D348" t="s">
        <v>944</v>
      </c>
      <c r="E348" t="s">
        <v>3</v>
      </c>
      <c r="F348" t="s">
        <v>26</v>
      </c>
      <c r="G348" t="s">
        <v>33</v>
      </c>
      <c r="H348" s="5" t="s">
        <v>945</v>
      </c>
      <c r="I348" s="7">
        <v>-7.61</v>
      </c>
      <c r="J348" s="7">
        <v>7.61</v>
      </c>
      <c r="K348" s="7">
        <v>0</v>
      </c>
      <c r="L348" s="7">
        <v>32645.63</v>
      </c>
      <c r="M348" t="s">
        <v>678</v>
      </c>
      <c r="N348" t="s">
        <v>55</v>
      </c>
      <c r="O348">
        <v>18</v>
      </c>
      <c r="P348" s="5" t="s">
        <v>946</v>
      </c>
    </row>
    <row r="349" spans="1:16">
      <c r="A349" s="4">
        <v>46218</v>
      </c>
      <c r="B349" t="s">
        <v>138</v>
      </c>
      <c r="C349" s="5" t="s">
        <v>947</v>
      </c>
      <c r="D349" t="s">
        <v>138</v>
      </c>
      <c r="E349" t="s">
        <v>6</v>
      </c>
      <c r="F349" t="s">
        <v>26</v>
      </c>
      <c r="G349" t="s">
        <v>35</v>
      </c>
      <c r="H349" s="5" t="s">
        <v>140</v>
      </c>
      <c r="I349" s="7">
        <v>-68</v>
      </c>
      <c r="J349" s="7">
        <v>68</v>
      </c>
      <c r="K349" s="7">
        <v>0</v>
      </c>
      <c r="L349" s="7">
        <v>32577.63</v>
      </c>
      <c r="M349" t="s">
        <v>678</v>
      </c>
      <c r="N349" t="s">
        <v>55</v>
      </c>
      <c r="O349">
        <v>18</v>
      </c>
      <c r="P349" s="5" t="s">
        <v>948</v>
      </c>
    </row>
    <row r="350" spans="1:16">
      <c r="A350" s="4">
        <v>46218</v>
      </c>
      <c r="B350" t="s">
        <v>362</v>
      </c>
      <c r="C350" s="5" t="s">
        <v>949</v>
      </c>
      <c r="D350" t="s">
        <v>362</v>
      </c>
      <c r="E350" t="s">
        <v>4</v>
      </c>
      <c r="F350" t="s">
        <v>25</v>
      </c>
      <c r="G350" t="s">
        <v>35</v>
      </c>
      <c r="H350" s="5" t="s">
        <v>364</v>
      </c>
      <c r="I350" s="7">
        <v>-138</v>
      </c>
      <c r="J350" s="7">
        <v>138</v>
      </c>
      <c r="K350" s="7">
        <v>0</v>
      </c>
      <c r="L350" s="7">
        <v>32439.63</v>
      </c>
      <c r="M350" t="s">
        <v>678</v>
      </c>
      <c r="N350" t="s">
        <v>55</v>
      </c>
      <c r="O350">
        <v>19</v>
      </c>
      <c r="P350" s="5" t="s">
        <v>950</v>
      </c>
    </row>
    <row r="351" spans="1:16">
      <c r="A351" s="4">
        <v>46219</v>
      </c>
      <c r="B351" t="s">
        <v>951</v>
      </c>
      <c r="C351" s="5" t="s">
        <v>952</v>
      </c>
      <c r="D351" t="s">
        <v>953</v>
      </c>
      <c r="E351" t="s">
        <v>21</v>
      </c>
      <c r="F351" t="s">
        <v>31</v>
      </c>
      <c r="G351" t="s">
        <v>37</v>
      </c>
      <c r="H351" s="5"/>
      <c r="I351" s="7">
        <v>82.39</v>
      </c>
      <c r="J351" s="7">
        <v>0</v>
      </c>
      <c r="K351" s="7">
        <v>82.39</v>
      </c>
      <c r="L351" s="7">
        <v>32522.02</v>
      </c>
      <c r="M351" t="s">
        <v>678</v>
      </c>
      <c r="N351" t="s">
        <v>55</v>
      </c>
      <c r="O351">
        <v>19</v>
      </c>
      <c r="P351" s="5" t="s">
        <v>954</v>
      </c>
    </row>
    <row r="352" spans="1:16">
      <c r="A352" s="4">
        <v>46219</v>
      </c>
      <c r="B352" t="s">
        <v>98</v>
      </c>
      <c r="C352" s="5" t="s">
        <v>935</v>
      </c>
      <c r="D352" t="s">
        <v>100</v>
      </c>
      <c r="E352" t="s">
        <v>5</v>
      </c>
      <c r="F352" t="s">
        <v>25</v>
      </c>
      <c r="G352" t="s">
        <v>33</v>
      </c>
      <c r="H352" s="5" t="s">
        <v>101</v>
      </c>
      <c r="I352" s="7">
        <v>-5.77</v>
      </c>
      <c r="J352" s="7">
        <v>5.77</v>
      </c>
      <c r="K352" s="7">
        <v>0</v>
      </c>
      <c r="L352" s="7">
        <v>32516.25</v>
      </c>
      <c r="M352" t="s">
        <v>678</v>
      </c>
      <c r="N352" t="s">
        <v>55</v>
      </c>
      <c r="O352">
        <v>19</v>
      </c>
      <c r="P352" s="5" t="s">
        <v>955</v>
      </c>
    </row>
    <row r="353" spans="1:16">
      <c r="A353" s="4">
        <v>46219</v>
      </c>
      <c r="B353" t="s">
        <v>149</v>
      </c>
      <c r="C353" s="5" t="s">
        <v>935</v>
      </c>
      <c r="D353" t="s">
        <v>150</v>
      </c>
      <c r="E353" t="s">
        <v>3</v>
      </c>
      <c r="F353" t="s">
        <v>26</v>
      </c>
      <c r="G353" s="6" t="s">
        <v>34</v>
      </c>
      <c r="H353" s="5" t="s">
        <v>151</v>
      </c>
      <c r="I353" s="7">
        <v>-6.07</v>
      </c>
      <c r="J353" s="7">
        <v>6.07</v>
      </c>
      <c r="K353" s="7">
        <v>0</v>
      </c>
      <c r="L353" s="7">
        <v>32510.18</v>
      </c>
      <c r="M353" t="s">
        <v>678</v>
      </c>
      <c r="N353" t="s">
        <v>55</v>
      </c>
      <c r="O353">
        <v>19</v>
      </c>
      <c r="P353" s="5" t="s">
        <v>956</v>
      </c>
    </row>
    <row r="354" spans="1:16">
      <c r="A354" s="4">
        <v>46219</v>
      </c>
      <c r="B354" t="s">
        <v>384</v>
      </c>
      <c r="C354" s="5" t="s">
        <v>935</v>
      </c>
      <c r="D354" t="s">
        <v>385</v>
      </c>
      <c r="E354" t="s">
        <v>3</v>
      </c>
      <c r="F354" t="s">
        <v>26</v>
      </c>
      <c r="G354" t="s">
        <v>35</v>
      </c>
      <c r="H354" s="5" t="s">
        <v>93</v>
      </c>
      <c r="I354" s="7">
        <v>-24.1</v>
      </c>
      <c r="J354" s="7">
        <v>24.1</v>
      </c>
      <c r="K354" s="7">
        <v>0</v>
      </c>
      <c r="L354" s="7">
        <v>32486.08</v>
      </c>
      <c r="M354" t="s">
        <v>678</v>
      </c>
      <c r="N354" t="s">
        <v>55</v>
      </c>
      <c r="O354">
        <v>19</v>
      </c>
      <c r="P354" s="5" t="s">
        <v>957</v>
      </c>
    </row>
    <row r="355" spans="1:16">
      <c r="A355" s="4">
        <v>46219</v>
      </c>
      <c r="B355" t="s">
        <v>160</v>
      </c>
      <c r="C355" s="5"/>
      <c r="D355" t="s">
        <v>161</v>
      </c>
      <c r="E355" t="s">
        <v>1</v>
      </c>
      <c r="F355" t="s">
        <v>25</v>
      </c>
      <c r="G355" t="s">
        <v>35</v>
      </c>
      <c r="H355" s="5" t="s">
        <v>162</v>
      </c>
      <c r="I355" s="7">
        <v>-1720</v>
      </c>
      <c r="J355" s="7">
        <v>1720</v>
      </c>
      <c r="K355" s="7">
        <v>0</v>
      </c>
      <c r="L355" s="7">
        <v>30766.08</v>
      </c>
      <c r="M355" t="s">
        <v>678</v>
      </c>
      <c r="N355" t="s">
        <v>55</v>
      </c>
      <c r="O355">
        <v>19</v>
      </c>
      <c r="P355" s="5" t="s">
        <v>958</v>
      </c>
    </row>
    <row r="356" spans="1:16">
      <c r="A356" s="4">
        <v>46219</v>
      </c>
      <c r="B356" t="s">
        <v>51</v>
      </c>
      <c r="C356" s="5"/>
      <c r="D356" t="s">
        <v>52</v>
      </c>
      <c r="E356" t="s">
        <v>3</v>
      </c>
      <c r="F356" t="s">
        <v>26</v>
      </c>
      <c r="G356" s="6" t="s">
        <v>34</v>
      </c>
      <c r="H356" s="5" t="s">
        <v>53</v>
      </c>
      <c r="I356" s="7">
        <v>-7.1</v>
      </c>
      <c r="J356" s="7">
        <v>7.1</v>
      </c>
      <c r="K356" s="7">
        <v>0</v>
      </c>
      <c r="L356" s="7">
        <v>30758.98</v>
      </c>
      <c r="M356" t="s">
        <v>678</v>
      </c>
      <c r="N356" t="s">
        <v>55</v>
      </c>
      <c r="O356">
        <v>19</v>
      </c>
      <c r="P356" s="5" t="s">
        <v>959</v>
      </c>
    </row>
    <row r="357" spans="1:16">
      <c r="A357" s="4">
        <v>46219</v>
      </c>
      <c r="B357" t="s">
        <v>960</v>
      </c>
      <c r="C357" s="5"/>
      <c r="D357" t="s">
        <v>961</v>
      </c>
      <c r="E357" t="s">
        <v>23</v>
      </c>
      <c r="F357" t="s">
        <v>28</v>
      </c>
      <c r="G357" s="6" t="s">
        <v>34</v>
      </c>
      <c r="H357" s="5" t="s">
        <v>962</v>
      </c>
      <c r="I357" s="7">
        <v>-32.95</v>
      </c>
      <c r="J357" s="7">
        <v>32.95</v>
      </c>
      <c r="K357" s="7">
        <v>0</v>
      </c>
      <c r="L357" s="7">
        <v>30726.03</v>
      </c>
      <c r="M357" t="s">
        <v>678</v>
      </c>
      <c r="N357" t="s">
        <v>55</v>
      </c>
      <c r="O357">
        <v>19</v>
      </c>
      <c r="P357" s="5" t="s">
        <v>963</v>
      </c>
    </row>
    <row r="358" spans="1:16">
      <c r="A358" s="4">
        <v>46220</v>
      </c>
      <c r="B358" t="s">
        <v>109</v>
      </c>
      <c r="C358" s="5" t="s">
        <v>964</v>
      </c>
      <c r="D358" t="s">
        <v>111</v>
      </c>
      <c r="E358" t="s">
        <v>3</v>
      </c>
      <c r="F358" t="s">
        <v>26</v>
      </c>
      <c r="G358" t="s">
        <v>35</v>
      </c>
      <c r="H358" s="5" t="s">
        <v>112</v>
      </c>
      <c r="I358" s="7">
        <v>-26.76</v>
      </c>
      <c r="J358" s="7">
        <v>26.76</v>
      </c>
      <c r="K358" s="7">
        <v>0</v>
      </c>
      <c r="L358" s="7">
        <v>30699.27</v>
      </c>
      <c r="M358" t="s">
        <v>678</v>
      </c>
      <c r="N358" t="s">
        <v>55</v>
      </c>
      <c r="O358">
        <v>19</v>
      </c>
      <c r="P358" s="5" t="s">
        <v>965</v>
      </c>
    </row>
    <row r="359" spans="1:16">
      <c r="A359" s="4">
        <v>46220</v>
      </c>
      <c r="B359" t="s">
        <v>966</v>
      </c>
      <c r="C359" s="5" t="s">
        <v>967</v>
      </c>
      <c r="D359" t="s">
        <v>100</v>
      </c>
      <c r="E359" t="s">
        <v>5</v>
      </c>
      <c r="F359" t="s">
        <v>25</v>
      </c>
      <c r="G359" t="s">
        <v>33</v>
      </c>
      <c r="H359" s="5" t="s">
        <v>968</v>
      </c>
      <c r="I359" s="7">
        <v>-9.800000000000001</v>
      </c>
      <c r="J359" s="7">
        <v>9.800000000000001</v>
      </c>
      <c r="K359" s="7">
        <v>0</v>
      </c>
      <c r="L359" s="7">
        <v>30689.47</v>
      </c>
      <c r="M359" t="s">
        <v>678</v>
      </c>
      <c r="N359" t="s">
        <v>55</v>
      </c>
      <c r="O359">
        <v>19</v>
      </c>
      <c r="P359" s="5" t="s">
        <v>969</v>
      </c>
    </row>
    <row r="360" spans="1:16">
      <c r="A360" s="4">
        <v>46220</v>
      </c>
      <c r="B360" t="s">
        <v>395</v>
      </c>
      <c r="C360" s="5"/>
      <c r="D360" t="s">
        <v>396</v>
      </c>
      <c r="E360" t="s">
        <v>3</v>
      </c>
      <c r="F360" t="s">
        <v>26</v>
      </c>
      <c r="G360" t="s">
        <v>35</v>
      </c>
      <c r="H360" s="5" t="s">
        <v>397</v>
      </c>
      <c r="I360" s="7">
        <v>-9.09</v>
      </c>
      <c r="J360" s="7">
        <v>9.09</v>
      </c>
      <c r="K360" s="7">
        <v>0</v>
      </c>
      <c r="L360" s="7">
        <v>30680.38</v>
      </c>
      <c r="M360" t="s">
        <v>678</v>
      </c>
      <c r="N360" t="s">
        <v>55</v>
      </c>
      <c r="O360">
        <v>19</v>
      </c>
      <c r="P360" s="5" t="s">
        <v>970</v>
      </c>
    </row>
    <row r="361" spans="1:16">
      <c r="A361" s="4">
        <v>46220</v>
      </c>
      <c r="B361" t="s">
        <v>51</v>
      </c>
      <c r="C361" s="5"/>
      <c r="D361" t="s">
        <v>52</v>
      </c>
      <c r="E361" t="s">
        <v>3</v>
      </c>
      <c r="F361" t="s">
        <v>26</v>
      </c>
      <c r="G361" s="6" t="s">
        <v>34</v>
      </c>
      <c r="H361" s="5" t="s">
        <v>53</v>
      </c>
      <c r="I361" s="7">
        <v>-7.1</v>
      </c>
      <c r="J361" s="7">
        <v>7.1</v>
      </c>
      <c r="K361" s="7">
        <v>0</v>
      </c>
      <c r="L361" s="7">
        <v>30673.28</v>
      </c>
      <c r="M361" t="s">
        <v>678</v>
      </c>
      <c r="N361" t="s">
        <v>55</v>
      </c>
      <c r="O361">
        <v>19</v>
      </c>
      <c r="P361" s="5" t="s">
        <v>971</v>
      </c>
    </row>
    <row r="362" spans="1:16">
      <c r="A362" s="4">
        <v>46220</v>
      </c>
      <c r="B362" t="s">
        <v>205</v>
      </c>
      <c r="C362" s="5"/>
      <c r="D362" t="s">
        <v>206</v>
      </c>
      <c r="E362" t="s">
        <v>3</v>
      </c>
      <c r="F362" t="s">
        <v>26</v>
      </c>
      <c r="G362" t="s">
        <v>35</v>
      </c>
      <c r="H362" s="5" t="s">
        <v>207</v>
      </c>
      <c r="I362" s="7">
        <v>-14.2</v>
      </c>
      <c r="J362" s="7">
        <v>14.2</v>
      </c>
      <c r="K362" s="7">
        <v>0</v>
      </c>
      <c r="L362" s="7">
        <v>30659.08</v>
      </c>
      <c r="M362" t="s">
        <v>678</v>
      </c>
      <c r="N362" t="s">
        <v>55</v>
      </c>
      <c r="O362">
        <v>19</v>
      </c>
      <c r="P362" s="5" t="s">
        <v>972</v>
      </c>
    </row>
    <row r="363" spans="1:16">
      <c r="A363" s="4">
        <v>46220</v>
      </c>
      <c r="B363" t="s">
        <v>133</v>
      </c>
      <c r="C363" s="5"/>
      <c r="D363" t="s">
        <v>83</v>
      </c>
      <c r="E363" t="s">
        <v>2</v>
      </c>
      <c r="F363" t="s">
        <v>25</v>
      </c>
      <c r="G363" t="s">
        <v>35</v>
      </c>
      <c r="H363" s="5" t="s">
        <v>84</v>
      </c>
      <c r="I363" s="7">
        <v>-13.82</v>
      </c>
      <c r="J363" s="7">
        <v>13.82</v>
      </c>
      <c r="K363" s="7">
        <v>0</v>
      </c>
      <c r="L363" s="7">
        <v>30645.26</v>
      </c>
      <c r="M363" t="s">
        <v>678</v>
      </c>
      <c r="N363" t="s">
        <v>55</v>
      </c>
      <c r="O363">
        <v>19</v>
      </c>
      <c r="P363" s="5" t="s">
        <v>973</v>
      </c>
    </row>
    <row r="364" spans="1:16">
      <c r="A364" s="4">
        <v>46220</v>
      </c>
      <c r="B364" t="s">
        <v>974</v>
      </c>
      <c r="C364" s="5"/>
      <c r="D364" t="s">
        <v>975</v>
      </c>
      <c r="E364" t="s">
        <v>17</v>
      </c>
      <c r="F364" t="s">
        <v>29</v>
      </c>
      <c r="G364" s="8" t="s">
        <v>36</v>
      </c>
      <c r="H364" s="5"/>
      <c r="I364" s="7">
        <v>-26</v>
      </c>
      <c r="J364" s="7">
        <v>26</v>
      </c>
      <c r="K364" s="7">
        <v>0</v>
      </c>
      <c r="L364" s="7">
        <v>30619.26</v>
      </c>
      <c r="M364" t="s">
        <v>678</v>
      </c>
      <c r="N364" t="s">
        <v>55</v>
      </c>
      <c r="O364">
        <v>19</v>
      </c>
      <c r="P364" s="5" t="s">
        <v>976</v>
      </c>
    </row>
    <row r="365" spans="1:16">
      <c r="A365" s="4">
        <v>46220</v>
      </c>
      <c r="B365" t="s">
        <v>977</v>
      </c>
      <c r="C365" s="5"/>
      <c r="D365" t="s">
        <v>978</v>
      </c>
      <c r="E365" t="s">
        <v>17</v>
      </c>
      <c r="F365" t="s">
        <v>29</v>
      </c>
      <c r="G365" s="8" t="s">
        <v>36</v>
      </c>
      <c r="H365" s="5"/>
      <c r="I365" s="7">
        <v>-6.97</v>
      </c>
      <c r="J365" s="7">
        <v>6.97</v>
      </c>
      <c r="K365" s="7">
        <v>0</v>
      </c>
      <c r="L365" s="7">
        <v>30612.29</v>
      </c>
      <c r="M365" t="s">
        <v>678</v>
      </c>
      <c r="N365" t="s">
        <v>55</v>
      </c>
      <c r="O365">
        <v>19</v>
      </c>
      <c r="P365" s="5" t="s">
        <v>979</v>
      </c>
    </row>
    <row r="366" spans="1:16">
      <c r="A366" s="4">
        <v>46221</v>
      </c>
      <c r="B366" t="s">
        <v>980</v>
      </c>
      <c r="C366" s="5" t="s">
        <v>981</v>
      </c>
      <c r="D366" t="s">
        <v>982</v>
      </c>
      <c r="E366" t="s">
        <v>3</v>
      </c>
      <c r="F366" t="s">
        <v>26</v>
      </c>
      <c r="G366" t="s">
        <v>35</v>
      </c>
      <c r="H366" s="5" t="s">
        <v>93</v>
      </c>
      <c r="I366" s="7">
        <v>-28.6</v>
      </c>
      <c r="J366" s="7">
        <v>28.6</v>
      </c>
      <c r="K366" s="7">
        <v>0</v>
      </c>
      <c r="L366" s="7">
        <v>30583.69</v>
      </c>
      <c r="M366" t="s">
        <v>678</v>
      </c>
      <c r="N366" t="s">
        <v>55</v>
      </c>
      <c r="O366">
        <v>19</v>
      </c>
      <c r="P366" s="5" t="s">
        <v>983</v>
      </c>
    </row>
    <row r="367" spans="1:16">
      <c r="A367" s="4">
        <v>46221</v>
      </c>
      <c r="B367" t="s">
        <v>966</v>
      </c>
      <c r="C367" s="5" t="s">
        <v>984</v>
      </c>
      <c r="D367" t="s">
        <v>100</v>
      </c>
      <c r="E367" t="s">
        <v>5</v>
      </c>
      <c r="F367" t="s">
        <v>25</v>
      </c>
      <c r="G367" t="s">
        <v>33</v>
      </c>
      <c r="H367" s="5" t="s">
        <v>968</v>
      </c>
      <c r="I367" s="7">
        <v>-5.77</v>
      </c>
      <c r="J367" s="7">
        <v>5.77</v>
      </c>
      <c r="K367" s="7">
        <v>0</v>
      </c>
      <c r="L367" s="7">
        <v>30577.92</v>
      </c>
      <c r="M367" t="s">
        <v>678</v>
      </c>
      <c r="N367" t="s">
        <v>55</v>
      </c>
      <c r="O367">
        <v>19</v>
      </c>
      <c r="P367" s="5" t="s">
        <v>985</v>
      </c>
    </row>
    <row r="368" spans="1:16">
      <c r="A368" s="4">
        <v>46221</v>
      </c>
      <c r="B368" t="s">
        <v>149</v>
      </c>
      <c r="C368" s="5" t="s">
        <v>984</v>
      </c>
      <c r="D368" t="s">
        <v>150</v>
      </c>
      <c r="E368" t="s">
        <v>3</v>
      </c>
      <c r="F368" t="s">
        <v>26</v>
      </c>
      <c r="G368" s="6" t="s">
        <v>34</v>
      </c>
      <c r="H368" s="5" t="s">
        <v>151</v>
      </c>
      <c r="I368" s="7">
        <v>-6.07</v>
      </c>
      <c r="J368" s="7">
        <v>6.07</v>
      </c>
      <c r="K368" s="7">
        <v>0</v>
      </c>
      <c r="L368" s="7">
        <v>30571.85</v>
      </c>
      <c r="M368" t="s">
        <v>678</v>
      </c>
      <c r="N368" t="s">
        <v>55</v>
      </c>
      <c r="O368">
        <v>19</v>
      </c>
      <c r="P368" s="5" t="s">
        <v>986</v>
      </c>
    </row>
    <row r="369" spans="1:16">
      <c r="A369" s="4">
        <v>46221</v>
      </c>
      <c r="B369" t="s">
        <v>156</v>
      </c>
      <c r="C369" s="5" t="s">
        <v>984</v>
      </c>
      <c r="D369" t="s">
        <v>157</v>
      </c>
      <c r="E369" t="s">
        <v>3</v>
      </c>
      <c r="F369" t="s">
        <v>26</v>
      </c>
      <c r="G369" t="s">
        <v>33</v>
      </c>
      <c r="H369" s="5" t="s">
        <v>158</v>
      </c>
      <c r="I369" s="7">
        <v>-16.39</v>
      </c>
      <c r="J369" s="7">
        <v>16.39</v>
      </c>
      <c r="K369" s="7">
        <v>0</v>
      </c>
      <c r="L369" s="7">
        <v>30555.46</v>
      </c>
      <c r="M369" t="s">
        <v>678</v>
      </c>
      <c r="N369" t="s">
        <v>55</v>
      </c>
      <c r="O369">
        <v>19</v>
      </c>
      <c r="P369" s="5" t="s">
        <v>987</v>
      </c>
    </row>
    <row r="370" spans="1:16">
      <c r="A370" s="4">
        <v>46221</v>
      </c>
      <c r="B370" t="s">
        <v>205</v>
      </c>
      <c r="C370" s="5"/>
      <c r="D370" t="s">
        <v>206</v>
      </c>
      <c r="E370" t="s">
        <v>3</v>
      </c>
      <c r="F370" t="s">
        <v>26</v>
      </c>
      <c r="G370" t="s">
        <v>35</v>
      </c>
      <c r="H370" s="5" t="s">
        <v>207</v>
      </c>
      <c r="I370" s="7">
        <v>-10.15</v>
      </c>
      <c r="J370" s="7">
        <v>10.15</v>
      </c>
      <c r="K370" s="7">
        <v>0</v>
      </c>
      <c r="L370" s="7">
        <v>30545.31</v>
      </c>
      <c r="M370" t="s">
        <v>678</v>
      </c>
      <c r="N370" t="s">
        <v>55</v>
      </c>
      <c r="O370">
        <v>19</v>
      </c>
      <c r="P370" s="5" t="s">
        <v>988</v>
      </c>
    </row>
    <row r="371" spans="1:16">
      <c r="A371" s="4">
        <v>46221</v>
      </c>
      <c r="B371" t="s">
        <v>742</v>
      </c>
      <c r="C371" s="5"/>
      <c r="D371" t="s">
        <v>742</v>
      </c>
      <c r="E371" t="s">
        <v>17</v>
      </c>
      <c r="F371" t="s">
        <v>29</v>
      </c>
      <c r="G371" s="8" t="s">
        <v>36</v>
      </c>
      <c r="H371" s="5"/>
      <c r="I371" s="7">
        <v>-2.2</v>
      </c>
      <c r="J371" s="7">
        <v>2.2</v>
      </c>
      <c r="K371" s="7">
        <v>0</v>
      </c>
      <c r="L371" s="7">
        <v>30543.11</v>
      </c>
      <c r="M371" t="s">
        <v>678</v>
      </c>
      <c r="N371" t="s">
        <v>55</v>
      </c>
      <c r="O371">
        <v>20</v>
      </c>
      <c r="P371" s="5" t="s">
        <v>989</v>
      </c>
    </row>
    <row r="372" spans="1:16">
      <c r="A372" s="4">
        <v>46221</v>
      </c>
      <c r="B372" t="s">
        <v>226</v>
      </c>
      <c r="C372" s="5"/>
      <c r="D372" t="s">
        <v>202</v>
      </c>
      <c r="E372" t="s">
        <v>3</v>
      </c>
      <c r="F372" t="s">
        <v>26</v>
      </c>
      <c r="G372" t="s">
        <v>35</v>
      </c>
      <c r="H372" s="5" t="s">
        <v>203</v>
      </c>
      <c r="I372" s="7">
        <v>-45</v>
      </c>
      <c r="J372" s="7">
        <v>45</v>
      </c>
      <c r="K372" s="7">
        <v>0</v>
      </c>
      <c r="L372" s="7">
        <v>30498.11</v>
      </c>
      <c r="M372" t="s">
        <v>678</v>
      </c>
      <c r="N372" t="s">
        <v>55</v>
      </c>
      <c r="O372">
        <v>20</v>
      </c>
      <c r="P372" s="5" t="s">
        <v>990</v>
      </c>
    </row>
    <row r="373" spans="1:16">
      <c r="A373" s="4">
        <v>46223</v>
      </c>
      <c r="B373" t="s">
        <v>51</v>
      </c>
      <c r="C373" s="5"/>
      <c r="D373" t="s">
        <v>52</v>
      </c>
      <c r="E373" t="s">
        <v>3</v>
      </c>
      <c r="F373" t="s">
        <v>26</v>
      </c>
      <c r="G373" s="6" t="s">
        <v>34</v>
      </c>
      <c r="H373" s="5" t="s">
        <v>53</v>
      </c>
      <c r="I373" s="7">
        <v>-7.1</v>
      </c>
      <c r="J373" s="7">
        <v>7.1</v>
      </c>
      <c r="K373" s="7">
        <v>0</v>
      </c>
      <c r="L373" s="7">
        <v>30491.01</v>
      </c>
      <c r="M373" t="s">
        <v>678</v>
      </c>
      <c r="N373" t="s">
        <v>55</v>
      </c>
      <c r="O373">
        <v>20</v>
      </c>
      <c r="P373" s="5" t="s">
        <v>991</v>
      </c>
    </row>
    <row r="374" spans="1:16">
      <c r="A374" s="4">
        <v>46223</v>
      </c>
      <c r="B374" t="s">
        <v>992</v>
      </c>
      <c r="C374" s="5"/>
      <c r="D374" t="s">
        <v>993</v>
      </c>
      <c r="E374" t="s">
        <v>17</v>
      </c>
      <c r="F374" t="s">
        <v>29</v>
      </c>
      <c r="G374" s="8" t="s">
        <v>36</v>
      </c>
      <c r="H374" s="5"/>
      <c r="I374" s="7">
        <v>-16.23</v>
      </c>
      <c r="J374" s="7">
        <v>16.23</v>
      </c>
      <c r="K374" s="7">
        <v>0</v>
      </c>
      <c r="L374" s="7">
        <v>30474.78</v>
      </c>
      <c r="M374" t="s">
        <v>678</v>
      </c>
      <c r="N374" t="s">
        <v>55</v>
      </c>
      <c r="O374">
        <v>20</v>
      </c>
      <c r="P374" s="5" t="s">
        <v>994</v>
      </c>
    </row>
    <row r="375" spans="1:16">
      <c r="A375" s="4">
        <v>46223</v>
      </c>
      <c r="B375" t="s">
        <v>995</v>
      </c>
      <c r="C375" s="5"/>
      <c r="D375" t="s">
        <v>995</v>
      </c>
      <c r="E375" t="s">
        <v>18</v>
      </c>
      <c r="F375" t="s">
        <v>30</v>
      </c>
      <c r="G375" t="s">
        <v>37</v>
      </c>
      <c r="H375" s="5"/>
      <c r="I375" s="7">
        <v>-5500</v>
      </c>
      <c r="J375" s="7">
        <v>5500</v>
      </c>
      <c r="K375" s="7">
        <v>0</v>
      </c>
      <c r="L375" s="7">
        <v>24974.78</v>
      </c>
      <c r="M375" t="s">
        <v>678</v>
      </c>
      <c r="N375" t="s">
        <v>55</v>
      </c>
      <c r="O375">
        <v>20</v>
      </c>
      <c r="P375" s="5" t="s">
        <v>996</v>
      </c>
    </row>
    <row r="376" spans="1:16">
      <c r="A376" s="4">
        <v>46223</v>
      </c>
      <c r="B376" t="s">
        <v>297</v>
      </c>
      <c r="C376" s="5"/>
      <c r="D376" t="s">
        <v>298</v>
      </c>
      <c r="E376" t="s">
        <v>3</v>
      </c>
      <c r="F376" t="s">
        <v>26</v>
      </c>
      <c r="G376" t="s">
        <v>35</v>
      </c>
      <c r="H376" s="5" t="s">
        <v>299</v>
      </c>
      <c r="I376" s="7">
        <v>-5.05</v>
      </c>
      <c r="J376" s="7">
        <v>5.05</v>
      </c>
      <c r="K376" s="7">
        <v>0</v>
      </c>
      <c r="L376" s="7">
        <v>24969.73</v>
      </c>
      <c r="M376" t="s">
        <v>678</v>
      </c>
      <c r="N376" t="s">
        <v>55</v>
      </c>
      <c r="O376">
        <v>20</v>
      </c>
      <c r="P376" s="5" t="s">
        <v>997</v>
      </c>
    </row>
    <row r="377" spans="1:16">
      <c r="A377" s="4">
        <v>46224</v>
      </c>
      <c r="B377" t="s">
        <v>235</v>
      </c>
      <c r="C377" s="5" t="s">
        <v>998</v>
      </c>
      <c r="D377" t="s">
        <v>100</v>
      </c>
      <c r="E377" t="s">
        <v>5</v>
      </c>
      <c r="F377" t="s">
        <v>25</v>
      </c>
      <c r="G377" t="s">
        <v>33</v>
      </c>
      <c r="H377" s="5" t="s">
        <v>101</v>
      </c>
      <c r="I377" s="7">
        <v>-60</v>
      </c>
      <c r="J377" s="7">
        <v>60</v>
      </c>
      <c r="K377" s="7">
        <v>0</v>
      </c>
      <c r="L377" s="7">
        <v>24909.73</v>
      </c>
      <c r="M377" t="s">
        <v>678</v>
      </c>
      <c r="N377" t="s">
        <v>55</v>
      </c>
      <c r="O377">
        <v>20</v>
      </c>
      <c r="P377" s="5" t="s">
        <v>999</v>
      </c>
    </row>
    <row r="378" spans="1:16">
      <c r="A378" s="4">
        <v>46224</v>
      </c>
      <c r="B378" t="s">
        <v>280</v>
      </c>
      <c r="C378" s="5" t="s">
        <v>998</v>
      </c>
      <c r="D378" t="s">
        <v>282</v>
      </c>
      <c r="E378" t="s">
        <v>8</v>
      </c>
      <c r="F378" t="s">
        <v>26</v>
      </c>
      <c r="G378" t="s">
        <v>35</v>
      </c>
      <c r="H378" s="5" t="s">
        <v>176</v>
      </c>
      <c r="I378" s="7">
        <v>-43.14</v>
      </c>
      <c r="J378" s="7">
        <v>43.14</v>
      </c>
      <c r="K378" s="7">
        <v>0</v>
      </c>
      <c r="L378" s="7">
        <v>24866.59</v>
      </c>
      <c r="M378" t="s">
        <v>678</v>
      </c>
      <c r="N378" t="s">
        <v>55</v>
      </c>
      <c r="O378">
        <v>20</v>
      </c>
      <c r="P378" s="5" t="s">
        <v>1000</v>
      </c>
    </row>
    <row r="379" spans="1:16">
      <c r="A379" s="4">
        <v>46224</v>
      </c>
      <c r="B379" t="s">
        <v>966</v>
      </c>
      <c r="C379" s="5" t="s">
        <v>1001</v>
      </c>
      <c r="D379" t="s">
        <v>100</v>
      </c>
      <c r="E379" t="s">
        <v>5</v>
      </c>
      <c r="F379" t="s">
        <v>25</v>
      </c>
      <c r="G379" t="s">
        <v>33</v>
      </c>
      <c r="H379" s="5" t="s">
        <v>968</v>
      </c>
      <c r="I379" s="7">
        <v>-4.03</v>
      </c>
      <c r="J379" s="7">
        <v>4.03</v>
      </c>
      <c r="K379" s="7">
        <v>0</v>
      </c>
      <c r="L379" s="7">
        <v>24862.56</v>
      </c>
      <c r="M379" t="s">
        <v>678</v>
      </c>
      <c r="N379" t="s">
        <v>55</v>
      </c>
      <c r="O379">
        <v>20</v>
      </c>
      <c r="P379" s="5" t="s">
        <v>1002</v>
      </c>
    </row>
    <row r="380" spans="1:16">
      <c r="A380" s="4">
        <v>46224</v>
      </c>
      <c r="B380" t="s">
        <v>509</v>
      </c>
      <c r="C380" s="5" t="s">
        <v>1003</v>
      </c>
      <c r="D380" t="s">
        <v>511</v>
      </c>
      <c r="E380" t="s">
        <v>14</v>
      </c>
      <c r="F380" t="s">
        <v>27</v>
      </c>
      <c r="G380" s="6" t="s">
        <v>34</v>
      </c>
      <c r="H380" s="5" t="s">
        <v>512</v>
      </c>
      <c r="I380" s="7">
        <v>-1.2</v>
      </c>
      <c r="J380" s="7">
        <v>1.2</v>
      </c>
      <c r="K380" s="7">
        <v>0</v>
      </c>
      <c r="L380" s="7">
        <v>24861.36</v>
      </c>
      <c r="M380" t="s">
        <v>678</v>
      </c>
      <c r="N380" t="s">
        <v>55</v>
      </c>
      <c r="O380">
        <v>20</v>
      </c>
      <c r="P380" s="5" t="s">
        <v>1004</v>
      </c>
    </row>
    <row r="381" spans="1:16">
      <c r="A381" s="4">
        <v>46224</v>
      </c>
      <c r="B381" t="s">
        <v>81</v>
      </c>
      <c r="C381" s="5" t="s">
        <v>1005</v>
      </c>
      <c r="D381" t="s">
        <v>83</v>
      </c>
      <c r="E381" t="s">
        <v>2</v>
      </c>
      <c r="F381" t="s">
        <v>25</v>
      </c>
      <c r="G381" t="s">
        <v>35</v>
      </c>
      <c r="H381" s="5" t="s">
        <v>84</v>
      </c>
      <c r="I381" s="7">
        <v>-59.67</v>
      </c>
      <c r="J381" s="7">
        <v>59.67</v>
      </c>
      <c r="K381" s="7">
        <v>0</v>
      </c>
      <c r="L381" s="7">
        <v>24801.69</v>
      </c>
      <c r="M381" t="s">
        <v>678</v>
      </c>
      <c r="N381" t="s">
        <v>55</v>
      </c>
      <c r="O381">
        <v>20</v>
      </c>
      <c r="P381" s="5" t="s">
        <v>1006</v>
      </c>
    </row>
    <row r="382" spans="1:16">
      <c r="A382" s="4">
        <v>46224</v>
      </c>
      <c r="B382" t="s">
        <v>1007</v>
      </c>
      <c r="C382" s="5" t="s">
        <v>1005</v>
      </c>
      <c r="D382" t="s">
        <v>1008</v>
      </c>
      <c r="E382" t="s">
        <v>3</v>
      </c>
      <c r="F382" t="s">
        <v>26</v>
      </c>
      <c r="G382" t="s">
        <v>35</v>
      </c>
      <c r="H382" s="5" t="s">
        <v>1009</v>
      </c>
      <c r="I382" s="7">
        <v>-12.78</v>
      </c>
      <c r="J382" s="7">
        <v>12.78</v>
      </c>
      <c r="K382" s="7">
        <v>0</v>
      </c>
      <c r="L382" s="7">
        <v>24788.91</v>
      </c>
      <c r="M382" t="s">
        <v>678</v>
      </c>
      <c r="N382" t="s">
        <v>55</v>
      </c>
      <c r="O382">
        <v>20</v>
      </c>
      <c r="P382" s="5" t="s">
        <v>1010</v>
      </c>
    </row>
    <row r="383" spans="1:16">
      <c r="A383" s="4">
        <v>46224</v>
      </c>
      <c r="B383" t="s">
        <v>81</v>
      </c>
      <c r="C383" s="5" t="s">
        <v>1003</v>
      </c>
      <c r="D383" t="s">
        <v>83</v>
      </c>
      <c r="E383" t="s">
        <v>2</v>
      </c>
      <c r="F383" t="s">
        <v>25</v>
      </c>
      <c r="G383" t="s">
        <v>35</v>
      </c>
      <c r="H383" s="5" t="s">
        <v>84</v>
      </c>
      <c r="I383" s="7">
        <v>-26.79</v>
      </c>
      <c r="J383" s="7">
        <v>26.79</v>
      </c>
      <c r="K383" s="7">
        <v>0</v>
      </c>
      <c r="L383" s="7">
        <v>24762.12</v>
      </c>
      <c r="M383" t="s">
        <v>678</v>
      </c>
      <c r="N383" t="s">
        <v>55</v>
      </c>
      <c r="O383">
        <v>20</v>
      </c>
      <c r="P383" s="5" t="s">
        <v>1011</v>
      </c>
    </row>
    <row r="384" spans="1:16">
      <c r="A384" s="4">
        <v>46224</v>
      </c>
      <c r="B384" t="s">
        <v>368</v>
      </c>
      <c r="C384" s="5" t="s">
        <v>1012</v>
      </c>
      <c r="D384" t="s">
        <v>369</v>
      </c>
      <c r="E384" t="s">
        <v>3</v>
      </c>
      <c r="F384" t="s">
        <v>26</v>
      </c>
      <c r="G384" t="s">
        <v>35</v>
      </c>
      <c r="H384" s="5" t="s">
        <v>75</v>
      </c>
      <c r="I384" s="7">
        <v>-4.87</v>
      </c>
      <c r="J384" s="7">
        <v>4.87</v>
      </c>
      <c r="K384" s="7">
        <v>0</v>
      </c>
      <c r="L384" s="7">
        <v>24757.25</v>
      </c>
      <c r="M384" t="s">
        <v>678</v>
      </c>
      <c r="N384" t="s">
        <v>55</v>
      </c>
      <c r="O384">
        <v>20</v>
      </c>
      <c r="P384" s="5" t="s">
        <v>1013</v>
      </c>
    </row>
    <row r="385" spans="1:16">
      <c r="A385" s="4">
        <v>46224</v>
      </c>
      <c r="B385" t="s">
        <v>245</v>
      </c>
      <c r="C385" s="5" t="s">
        <v>1014</v>
      </c>
      <c r="D385" t="s">
        <v>246</v>
      </c>
      <c r="E385" t="s">
        <v>17</v>
      </c>
      <c r="F385" t="s">
        <v>29</v>
      </c>
      <c r="G385" s="8" t="s">
        <v>36</v>
      </c>
      <c r="H385" s="5"/>
      <c r="I385" s="7">
        <v>-3.9</v>
      </c>
      <c r="J385" s="7">
        <v>3.9</v>
      </c>
      <c r="K385" s="7">
        <v>0</v>
      </c>
      <c r="L385" s="7">
        <v>24753.35</v>
      </c>
      <c r="M385" t="s">
        <v>678</v>
      </c>
      <c r="N385" t="s">
        <v>55</v>
      </c>
      <c r="O385">
        <v>20</v>
      </c>
      <c r="P385" s="5" t="s">
        <v>1015</v>
      </c>
    </row>
    <row r="386" spans="1:16">
      <c r="A386" s="4">
        <v>46224</v>
      </c>
      <c r="B386" t="s">
        <v>966</v>
      </c>
      <c r="C386" s="5" t="s">
        <v>1016</v>
      </c>
      <c r="D386" t="s">
        <v>100</v>
      </c>
      <c r="E386" t="s">
        <v>5</v>
      </c>
      <c r="F386" t="s">
        <v>25</v>
      </c>
      <c r="G386" t="s">
        <v>33</v>
      </c>
      <c r="H386" s="5" t="s">
        <v>968</v>
      </c>
      <c r="I386" s="7">
        <v>-11.54</v>
      </c>
      <c r="J386" s="7">
        <v>11.54</v>
      </c>
      <c r="K386" s="7">
        <v>0</v>
      </c>
      <c r="L386" s="7">
        <v>24741.81</v>
      </c>
      <c r="M386" t="s">
        <v>678</v>
      </c>
      <c r="N386" t="s">
        <v>55</v>
      </c>
      <c r="O386">
        <v>20</v>
      </c>
      <c r="P386" s="5" t="s">
        <v>1017</v>
      </c>
    </row>
    <row r="387" spans="1:16">
      <c r="A387" s="4">
        <v>46224</v>
      </c>
      <c r="B387" t="s">
        <v>389</v>
      </c>
      <c r="C387" s="5" t="s">
        <v>1016</v>
      </c>
      <c r="D387" t="s">
        <v>390</v>
      </c>
      <c r="E387" t="s">
        <v>17</v>
      </c>
      <c r="F387" t="s">
        <v>29</v>
      </c>
      <c r="G387" s="8" t="s">
        <v>36</v>
      </c>
      <c r="H387" s="5"/>
      <c r="I387" s="7">
        <v>-12.13</v>
      </c>
      <c r="J387" s="7">
        <v>12.13</v>
      </c>
      <c r="K387" s="7">
        <v>0</v>
      </c>
      <c r="L387" s="7">
        <v>24729.68</v>
      </c>
      <c r="M387" t="s">
        <v>678</v>
      </c>
      <c r="N387" t="s">
        <v>55</v>
      </c>
      <c r="O387">
        <v>20</v>
      </c>
      <c r="P387" s="5" t="s">
        <v>1018</v>
      </c>
    </row>
    <row r="388" spans="1:16">
      <c r="A388" s="4">
        <v>46224</v>
      </c>
      <c r="B388" t="s">
        <v>1019</v>
      </c>
      <c r="C388" s="5" t="s">
        <v>1014</v>
      </c>
      <c r="D388" t="s">
        <v>1020</v>
      </c>
      <c r="E388" t="s">
        <v>12</v>
      </c>
      <c r="F388" t="s">
        <v>26</v>
      </c>
      <c r="G388" t="s">
        <v>35</v>
      </c>
      <c r="H388" s="5" t="s">
        <v>426</v>
      </c>
      <c r="I388" s="7">
        <v>-9.99</v>
      </c>
      <c r="J388" s="7">
        <v>9.99</v>
      </c>
      <c r="K388" s="7">
        <v>0</v>
      </c>
      <c r="L388" s="7">
        <v>24719.69</v>
      </c>
      <c r="M388" t="s">
        <v>678</v>
      </c>
      <c r="N388" t="s">
        <v>55</v>
      </c>
      <c r="O388">
        <v>20</v>
      </c>
      <c r="P388" s="5" t="s">
        <v>1021</v>
      </c>
    </row>
    <row r="389" spans="1:16">
      <c r="A389" s="4">
        <v>46224</v>
      </c>
      <c r="B389" t="s">
        <v>81</v>
      </c>
      <c r="C389" s="5" t="s">
        <v>1016</v>
      </c>
      <c r="D389" t="s">
        <v>83</v>
      </c>
      <c r="E389" t="s">
        <v>2</v>
      </c>
      <c r="F389" t="s">
        <v>25</v>
      </c>
      <c r="G389" t="s">
        <v>35</v>
      </c>
      <c r="H389" s="5" t="s">
        <v>84</v>
      </c>
      <c r="I389" s="7">
        <v>-28.9</v>
      </c>
      <c r="J389" s="7">
        <v>28.9</v>
      </c>
      <c r="K389" s="7">
        <v>0</v>
      </c>
      <c r="L389" s="7">
        <v>24690.79</v>
      </c>
      <c r="M389" t="s">
        <v>678</v>
      </c>
      <c r="N389" t="s">
        <v>55</v>
      </c>
      <c r="O389">
        <v>21</v>
      </c>
      <c r="P389" s="5" t="s">
        <v>1022</v>
      </c>
    </row>
    <row r="390" spans="1:16">
      <c r="A390" s="4">
        <v>46224</v>
      </c>
      <c r="B390" t="s">
        <v>128</v>
      </c>
      <c r="C390" s="5"/>
      <c r="D390" t="s">
        <v>129</v>
      </c>
      <c r="E390" t="s">
        <v>3</v>
      </c>
      <c r="F390" t="s">
        <v>26</v>
      </c>
      <c r="G390" t="s">
        <v>35</v>
      </c>
      <c r="H390" s="5" t="s">
        <v>130</v>
      </c>
      <c r="I390" s="7">
        <v>-4.57</v>
      </c>
      <c r="J390" s="7">
        <v>4.57</v>
      </c>
      <c r="K390" s="7">
        <v>0</v>
      </c>
      <c r="L390" s="7">
        <v>24686.22</v>
      </c>
      <c r="M390" t="s">
        <v>678</v>
      </c>
      <c r="N390" t="s">
        <v>55</v>
      </c>
      <c r="O390">
        <v>21</v>
      </c>
      <c r="P390" s="5" t="s">
        <v>1023</v>
      </c>
    </row>
    <row r="391" spans="1:16">
      <c r="A391" s="4">
        <v>46224</v>
      </c>
      <c r="B391" t="s">
        <v>311</v>
      </c>
      <c r="C391" s="5"/>
      <c r="D391" t="s">
        <v>312</v>
      </c>
      <c r="E391" t="s">
        <v>3</v>
      </c>
      <c r="F391" t="s">
        <v>26</v>
      </c>
      <c r="G391" t="s">
        <v>35</v>
      </c>
      <c r="H391" s="5" t="s">
        <v>75</v>
      </c>
      <c r="I391" s="7">
        <v>-5</v>
      </c>
      <c r="J391" s="7">
        <v>5</v>
      </c>
      <c r="K391" s="7">
        <v>0</v>
      </c>
      <c r="L391" s="7">
        <v>24681.22</v>
      </c>
      <c r="M391" t="s">
        <v>678</v>
      </c>
      <c r="N391" t="s">
        <v>55</v>
      </c>
      <c r="O391">
        <v>21</v>
      </c>
      <c r="P391" s="5" t="s">
        <v>1024</v>
      </c>
    </row>
    <row r="392" spans="1:16">
      <c r="A392" s="4">
        <v>46224</v>
      </c>
      <c r="B392" t="s">
        <v>1025</v>
      </c>
      <c r="C392" s="5"/>
      <c r="D392" t="s">
        <v>1025</v>
      </c>
      <c r="E392" t="s">
        <v>17</v>
      </c>
      <c r="F392" t="s">
        <v>29</v>
      </c>
      <c r="G392" s="8" t="s">
        <v>36</v>
      </c>
      <c r="H392" s="5"/>
      <c r="I392" s="7">
        <v>-45</v>
      </c>
      <c r="J392" s="7">
        <v>45</v>
      </c>
      <c r="K392" s="7">
        <v>0</v>
      </c>
      <c r="L392" s="7">
        <v>24636.22</v>
      </c>
      <c r="M392" t="s">
        <v>678</v>
      </c>
      <c r="N392" t="s">
        <v>55</v>
      </c>
      <c r="O392">
        <v>21</v>
      </c>
      <c r="P392" s="5" t="s">
        <v>1026</v>
      </c>
    </row>
    <row r="393" spans="1:16">
      <c r="A393" s="4">
        <v>46224</v>
      </c>
      <c r="B393" t="s">
        <v>133</v>
      </c>
      <c r="C393" s="5"/>
      <c r="D393" t="s">
        <v>83</v>
      </c>
      <c r="E393" t="s">
        <v>2</v>
      </c>
      <c r="F393" t="s">
        <v>25</v>
      </c>
      <c r="G393" t="s">
        <v>35</v>
      </c>
      <c r="H393" s="5" t="s">
        <v>84</v>
      </c>
      <c r="I393" s="7">
        <v>-13.6</v>
      </c>
      <c r="J393" s="7">
        <v>13.6</v>
      </c>
      <c r="K393" s="7">
        <v>0</v>
      </c>
      <c r="L393" s="7">
        <v>24622.62</v>
      </c>
      <c r="M393" t="s">
        <v>678</v>
      </c>
      <c r="N393" t="s">
        <v>55</v>
      </c>
      <c r="O393">
        <v>21</v>
      </c>
      <c r="P393" s="5" t="s">
        <v>1027</v>
      </c>
    </row>
    <row r="394" spans="1:16">
      <c r="A394" s="4">
        <v>46224</v>
      </c>
      <c r="B394" t="s">
        <v>297</v>
      </c>
      <c r="C394" s="5"/>
      <c r="D394" t="s">
        <v>298</v>
      </c>
      <c r="E394" t="s">
        <v>3</v>
      </c>
      <c r="F394" t="s">
        <v>26</v>
      </c>
      <c r="G394" t="s">
        <v>35</v>
      </c>
      <c r="H394" s="5" t="s">
        <v>299</v>
      </c>
      <c r="I394" s="7">
        <v>-10.1</v>
      </c>
      <c r="J394" s="7">
        <v>10.1</v>
      </c>
      <c r="K394" s="7">
        <v>0</v>
      </c>
      <c r="L394" s="7">
        <v>24612.52</v>
      </c>
      <c r="M394" t="s">
        <v>678</v>
      </c>
      <c r="N394" t="s">
        <v>55</v>
      </c>
      <c r="O394">
        <v>21</v>
      </c>
      <c r="P394" s="5" t="s">
        <v>1028</v>
      </c>
    </row>
    <row r="395" spans="1:16">
      <c r="A395" s="4">
        <v>46225</v>
      </c>
      <c r="B395" t="s">
        <v>527</v>
      </c>
      <c r="C395" s="5" t="s">
        <v>1029</v>
      </c>
      <c r="D395" t="s">
        <v>528</v>
      </c>
      <c r="E395" t="s">
        <v>8</v>
      </c>
      <c r="F395" t="s">
        <v>26</v>
      </c>
      <c r="G395" t="s">
        <v>33</v>
      </c>
      <c r="H395" s="5" t="s">
        <v>529</v>
      </c>
      <c r="I395" s="7">
        <v>-150</v>
      </c>
      <c r="J395" s="7">
        <v>150</v>
      </c>
      <c r="K395" s="7">
        <v>0</v>
      </c>
      <c r="L395" s="7">
        <v>24462.52</v>
      </c>
      <c r="M395" t="s">
        <v>678</v>
      </c>
      <c r="N395" t="s">
        <v>55</v>
      </c>
      <c r="O395">
        <v>21</v>
      </c>
      <c r="P395" s="5" t="s">
        <v>1030</v>
      </c>
    </row>
    <row r="396" spans="1:16">
      <c r="A396" s="4">
        <v>46225</v>
      </c>
      <c r="B396" t="s">
        <v>205</v>
      </c>
      <c r="C396" s="5"/>
      <c r="D396" t="s">
        <v>206</v>
      </c>
      <c r="E396" t="s">
        <v>3</v>
      </c>
      <c r="F396" t="s">
        <v>26</v>
      </c>
      <c r="G396" t="s">
        <v>35</v>
      </c>
      <c r="H396" s="5" t="s">
        <v>207</v>
      </c>
      <c r="I396" s="7">
        <v>-19.3</v>
      </c>
      <c r="J396" s="7">
        <v>19.3</v>
      </c>
      <c r="K396" s="7">
        <v>0</v>
      </c>
      <c r="L396" s="7">
        <v>24443.22</v>
      </c>
      <c r="M396" t="s">
        <v>678</v>
      </c>
      <c r="N396" t="s">
        <v>55</v>
      </c>
      <c r="O396">
        <v>21</v>
      </c>
      <c r="P396" s="5" t="s">
        <v>1031</v>
      </c>
    </row>
    <row r="397" spans="1:16">
      <c r="A397" s="4">
        <v>46225</v>
      </c>
      <c r="B397" t="s">
        <v>992</v>
      </c>
      <c r="C397" s="5"/>
      <c r="D397" t="s">
        <v>993</v>
      </c>
      <c r="E397" t="s">
        <v>17</v>
      </c>
      <c r="F397" t="s">
        <v>29</v>
      </c>
      <c r="G397" s="8" t="s">
        <v>36</v>
      </c>
      <c r="H397" s="5"/>
      <c r="I397" s="7">
        <v>-17.24</v>
      </c>
      <c r="J397" s="7">
        <v>17.24</v>
      </c>
      <c r="K397" s="7">
        <v>0</v>
      </c>
      <c r="L397" s="7">
        <v>24425.98</v>
      </c>
      <c r="M397" t="s">
        <v>678</v>
      </c>
      <c r="N397" t="s">
        <v>55</v>
      </c>
      <c r="O397">
        <v>21</v>
      </c>
      <c r="P397" s="5" t="s">
        <v>1032</v>
      </c>
    </row>
    <row r="398" spans="1:16">
      <c r="A398" s="4">
        <v>46225</v>
      </c>
      <c r="B398" t="s">
        <v>1033</v>
      </c>
      <c r="C398" s="5"/>
      <c r="D398" t="s">
        <v>1034</v>
      </c>
      <c r="E398" t="s">
        <v>17</v>
      </c>
      <c r="F398" t="s">
        <v>29</v>
      </c>
      <c r="G398" s="8" t="s">
        <v>36</v>
      </c>
      <c r="H398" s="5"/>
      <c r="I398" s="7">
        <v>-4.98</v>
      </c>
      <c r="J398" s="7">
        <v>4.98</v>
      </c>
      <c r="K398" s="7">
        <v>0</v>
      </c>
      <c r="L398" s="7">
        <v>24421</v>
      </c>
      <c r="M398" t="s">
        <v>678</v>
      </c>
      <c r="N398" t="s">
        <v>55</v>
      </c>
      <c r="O398">
        <v>21</v>
      </c>
      <c r="P398" s="5" t="s">
        <v>1035</v>
      </c>
    </row>
    <row r="399" spans="1:16">
      <c r="A399" s="4">
        <v>46225</v>
      </c>
      <c r="B399" t="s">
        <v>1036</v>
      </c>
      <c r="C399" s="5"/>
      <c r="D399" t="s">
        <v>1037</v>
      </c>
      <c r="E399" t="s">
        <v>8</v>
      </c>
      <c r="F399" t="s">
        <v>26</v>
      </c>
      <c r="G399" t="s">
        <v>33</v>
      </c>
      <c r="H399" s="5" t="s">
        <v>1038</v>
      </c>
      <c r="I399" s="7">
        <v>-20.98</v>
      </c>
      <c r="J399" s="7">
        <v>20.98</v>
      </c>
      <c r="K399" s="7">
        <v>0</v>
      </c>
      <c r="L399" s="7">
        <v>24400.02</v>
      </c>
      <c r="M399" t="s">
        <v>678</v>
      </c>
      <c r="N399" t="s">
        <v>55</v>
      </c>
      <c r="O399">
        <v>21</v>
      </c>
      <c r="P399" s="5" t="s">
        <v>1039</v>
      </c>
    </row>
    <row r="400" spans="1:16">
      <c r="A400" s="4">
        <v>46225</v>
      </c>
      <c r="B400" t="s">
        <v>1040</v>
      </c>
      <c r="C400" s="5"/>
      <c r="D400" t="s">
        <v>1041</v>
      </c>
      <c r="E400" t="s">
        <v>17</v>
      </c>
      <c r="F400" t="s">
        <v>29</v>
      </c>
      <c r="G400" s="8" t="s">
        <v>36</v>
      </c>
      <c r="H400" s="5"/>
      <c r="I400" s="7">
        <v>-22.16</v>
      </c>
      <c r="J400" s="7">
        <v>22.16</v>
      </c>
      <c r="K400" s="7">
        <v>0</v>
      </c>
      <c r="L400" s="7">
        <v>24377.86</v>
      </c>
      <c r="M400" t="s">
        <v>678</v>
      </c>
      <c r="N400" t="s">
        <v>55</v>
      </c>
      <c r="O400">
        <v>21</v>
      </c>
      <c r="P400" s="5" t="s">
        <v>1042</v>
      </c>
    </row>
    <row r="401" spans="1:16">
      <c r="A401" s="4">
        <v>46225</v>
      </c>
      <c r="B401" t="s">
        <v>138</v>
      </c>
      <c r="C401" s="5" t="s">
        <v>1043</v>
      </c>
      <c r="D401" t="s">
        <v>138</v>
      </c>
      <c r="E401" t="s">
        <v>6</v>
      </c>
      <c r="F401" t="s">
        <v>26</v>
      </c>
      <c r="G401" t="s">
        <v>35</v>
      </c>
      <c r="H401" s="5" t="s">
        <v>140</v>
      </c>
      <c r="I401" s="7">
        <v>-68</v>
      </c>
      <c r="J401" s="7">
        <v>68</v>
      </c>
      <c r="K401" s="7">
        <v>0</v>
      </c>
      <c r="L401" s="7">
        <v>24309.86</v>
      </c>
      <c r="M401" t="s">
        <v>678</v>
      </c>
      <c r="N401" t="s">
        <v>55</v>
      </c>
      <c r="O401">
        <v>21</v>
      </c>
      <c r="P401" s="5" t="s">
        <v>1044</v>
      </c>
    </row>
    <row r="402" spans="1:16">
      <c r="A402" s="4">
        <v>46226</v>
      </c>
      <c r="B402" t="s">
        <v>109</v>
      </c>
      <c r="C402" s="5" t="s">
        <v>1045</v>
      </c>
      <c r="D402" t="s">
        <v>111</v>
      </c>
      <c r="E402" t="s">
        <v>3</v>
      </c>
      <c r="F402" t="s">
        <v>26</v>
      </c>
      <c r="G402" t="s">
        <v>35</v>
      </c>
      <c r="H402" s="5" t="s">
        <v>112</v>
      </c>
      <c r="I402" s="7">
        <v>-28.8</v>
      </c>
      <c r="J402" s="7">
        <v>28.8</v>
      </c>
      <c r="K402" s="7">
        <v>0</v>
      </c>
      <c r="L402" s="7">
        <v>24281.06</v>
      </c>
      <c r="M402" t="s">
        <v>678</v>
      </c>
      <c r="N402" t="s">
        <v>55</v>
      </c>
      <c r="O402">
        <v>21</v>
      </c>
      <c r="P402" s="5" t="s">
        <v>1046</v>
      </c>
    </row>
    <row r="403" spans="1:16">
      <c r="A403" s="4">
        <v>46226</v>
      </c>
      <c r="B403" t="s">
        <v>674</v>
      </c>
      <c r="C403" s="5" t="s">
        <v>1047</v>
      </c>
      <c r="D403" t="s">
        <v>676</v>
      </c>
      <c r="E403" t="s">
        <v>7</v>
      </c>
      <c r="F403" t="s">
        <v>25</v>
      </c>
      <c r="G403" t="s">
        <v>35</v>
      </c>
      <c r="H403" s="5" t="s">
        <v>677</v>
      </c>
      <c r="I403" s="7">
        <v>-160</v>
      </c>
      <c r="J403" s="7">
        <v>160</v>
      </c>
      <c r="K403" s="7">
        <v>0</v>
      </c>
      <c r="L403" s="7">
        <v>24121.06</v>
      </c>
      <c r="M403" t="s">
        <v>678</v>
      </c>
      <c r="N403" t="s">
        <v>55</v>
      </c>
      <c r="O403">
        <v>21</v>
      </c>
      <c r="P403" s="5" t="s">
        <v>1048</v>
      </c>
    </row>
    <row r="404" spans="1:16">
      <c r="A404" s="4">
        <v>46226</v>
      </c>
      <c r="B404" t="s">
        <v>966</v>
      </c>
      <c r="C404" s="5" t="s">
        <v>1049</v>
      </c>
      <c r="D404" t="s">
        <v>100</v>
      </c>
      <c r="E404" t="s">
        <v>5</v>
      </c>
      <c r="F404" t="s">
        <v>25</v>
      </c>
      <c r="G404" t="s">
        <v>33</v>
      </c>
      <c r="H404" s="5" t="s">
        <v>968</v>
      </c>
      <c r="I404" s="7">
        <v>-5.77</v>
      </c>
      <c r="J404" s="7">
        <v>5.77</v>
      </c>
      <c r="K404" s="7">
        <v>0</v>
      </c>
      <c r="L404" s="7">
        <v>24115.29</v>
      </c>
      <c r="M404" t="s">
        <v>678</v>
      </c>
      <c r="N404" t="s">
        <v>55</v>
      </c>
      <c r="O404">
        <v>21</v>
      </c>
      <c r="P404" s="5" t="s">
        <v>1050</v>
      </c>
    </row>
    <row r="405" spans="1:16">
      <c r="A405" s="4">
        <v>46226</v>
      </c>
      <c r="B405" t="s">
        <v>1051</v>
      </c>
      <c r="C405" s="5" t="s">
        <v>1049</v>
      </c>
      <c r="D405" t="s">
        <v>1052</v>
      </c>
      <c r="E405" t="s">
        <v>8</v>
      </c>
      <c r="F405" t="s">
        <v>26</v>
      </c>
      <c r="G405" t="s">
        <v>35</v>
      </c>
      <c r="H405" s="5" t="s">
        <v>749</v>
      </c>
      <c r="I405" s="7">
        <v>-12</v>
      </c>
      <c r="J405" s="7">
        <v>12</v>
      </c>
      <c r="K405" s="7">
        <v>0</v>
      </c>
      <c r="L405" s="7">
        <v>24103.29</v>
      </c>
      <c r="M405" t="s">
        <v>678</v>
      </c>
      <c r="N405" t="s">
        <v>55</v>
      </c>
      <c r="O405">
        <v>21</v>
      </c>
      <c r="P405" s="5" t="s">
        <v>1053</v>
      </c>
    </row>
    <row r="406" spans="1:16">
      <c r="A406" s="4">
        <v>46226</v>
      </c>
      <c r="B406" t="s">
        <v>1051</v>
      </c>
      <c r="C406" s="5" t="s">
        <v>1049</v>
      </c>
      <c r="D406" t="s">
        <v>1052</v>
      </c>
      <c r="E406" t="s">
        <v>8</v>
      </c>
      <c r="F406" t="s">
        <v>26</v>
      </c>
      <c r="G406" t="s">
        <v>35</v>
      </c>
      <c r="H406" s="5" t="s">
        <v>749</v>
      </c>
      <c r="I406" s="7">
        <v>-6</v>
      </c>
      <c r="J406" s="7">
        <v>6</v>
      </c>
      <c r="K406" s="7">
        <v>0</v>
      </c>
      <c r="L406" s="7">
        <v>24097.29</v>
      </c>
      <c r="M406" t="s">
        <v>678</v>
      </c>
      <c r="N406" t="s">
        <v>55</v>
      </c>
      <c r="O406">
        <v>21</v>
      </c>
      <c r="P406" s="5" t="s">
        <v>1054</v>
      </c>
    </row>
    <row r="407" spans="1:16">
      <c r="A407" s="4">
        <v>46226</v>
      </c>
      <c r="B407" t="s">
        <v>1055</v>
      </c>
      <c r="C407" s="5" t="s">
        <v>1049</v>
      </c>
      <c r="D407" t="s">
        <v>1056</v>
      </c>
      <c r="E407" t="s">
        <v>17</v>
      </c>
      <c r="F407" t="s">
        <v>29</v>
      </c>
      <c r="G407" s="8" t="s">
        <v>36</v>
      </c>
      <c r="H407" s="5"/>
      <c r="I407" s="7">
        <v>-15.5</v>
      </c>
      <c r="J407" s="7">
        <v>15.5</v>
      </c>
      <c r="K407" s="7">
        <v>0</v>
      </c>
      <c r="L407" s="7">
        <v>24081.79</v>
      </c>
      <c r="M407" t="s">
        <v>678</v>
      </c>
      <c r="N407" t="s">
        <v>55</v>
      </c>
      <c r="O407">
        <v>21</v>
      </c>
      <c r="P407" s="5" t="s">
        <v>1057</v>
      </c>
    </row>
    <row r="408" spans="1:16">
      <c r="A408" s="4">
        <v>46226</v>
      </c>
      <c r="B408" t="s">
        <v>1058</v>
      </c>
      <c r="C408" s="5"/>
      <c r="D408" t="s">
        <v>1059</v>
      </c>
      <c r="E408" t="s">
        <v>17</v>
      </c>
      <c r="F408" t="s">
        <v>29</v>
      </c>
      <c r="G408" s="8" t="s">
        <v>36</v>
      </c>
      <c r="H408" s="5"/>
      <c r="I408" s="7">
        <v>-11.51</v>
      </c>
      <c r="J408" s="7">
        <v>11.51</v>
      </c>
      <c r="K408" s="7">
        <v>0</v>
      </c>
      <c r="L408" s="7">
        <v>24070.28</v>
      </c>
      <c r="M408" t="s">
        <v>678</v>
      </c>
      <c r="N408" t="s">
        <v>55</v>
      </c>
      <c r="O408">
        <v>21</v>
      </c>
      <c r="P408" s="5" t="s">
        <v>1060</v>
      </c>
    </row>
    <row r="409" spans="1:16">
      <c r="A409" s="4">
        <v>46226</v>
      </c>
      <c r="B409" t="s">
        <v>297</v>
      </c>
      <c r="C409" s="5"/>
      <c r="D409" t="s">
        <v>298</v>
      </c>
      <c r="E409" t="s">
        <v>3</v>
      </c>
      <c r="F409" t="s">
        <v>26</v>
      </c>
      <c r="G409" t="s">
        <v>35</v>
      </c>
      <c r="H409" s="5" t="s">
        <v>299</v>
      </c>
      <c r="I409" s="7">
        <v>-9.9</v>
      </c>
      <c r="J409" s="7">
        <v>9.9</v>
      </c>
      <c r="K409" s="7">
        <v>0</v>
      </c>
      <c r="L409" s="7">
        <v>24060.38</v>
      </c>
      <c r="M409" t="s">
        <v>678</v>
      </c>
      <c r="N409" t="s">
        <v>55</v>
      </c>
      <c r="O409">
        <v>21</v>
      </c>
      <c r="P409" s="5" t="s">
        <v>1061</v>
      </c>
    </row>
    <row r="410" spans="1:16">
      <c r="A410" s="4">
        <v>46226</v>
      </c>
      <c r="B410" t="s">
        <v>318</v>
      </c>
      <c r="C410" s="5" t="s">
        <v>1062</v>
      </c>
      <c r="D410" t="s">
        <v>320</v>
      </c>
      <c r="E410" t="s">
        <v>6</v>
      </c>
      <c r="F410" t="s">
        <v>26</v>
      </c>
      <c r="G410" t="s">
        <v>35</v>
      </c>
      <c r="H410" s="5" t="s">
        <v>321</v>
      </c>
      <c r="I410" s="7">
        <v>-22.9</v>
      </c>
      <c r="J410" s="7">
        <v>22.9</v>
      </c>
      <c r="K410" s="7">
        <v>0</v>
      </c>
      <c r="L410" s="7">
        <v>24037.48</v>
      </c>
      <c r="M410" t="s">
        <v>678</v>
      </c>
      <c r="N410" t="s">
        <v>55</v>
      </c>
      <c r="O410">
        <v>21</v>
      </c>
      <c r="P410" s="5" t="s">
        <v>1063</v>
      </c>
    </row>
    <row r="411" spans="1:16">
      <c r="A411" s="4">
        <v>46226</v>
      </c>
      <c r="B411" t="s">
        <v>318</v>
      </c>
      <c r="C411" s="5" t="s">
        <v>1064</v>
      </c>
      <c r="D411" t="s">
        <v>320</v>
      </c>
      <c r="E411" t="s">
        <v>6</v>
      </c>
      <c r="F411" t="s">
        <v>26</v>
      </c>
      <c r="G411" t="s">
        <v>35</v>
      </c>
      <c r="H411" s="5" t="s">
        <v>321</v>
      </c>
      <c r="I411" s="7">
        <v>-30.9</v>
      </c>
      <c r="J411" s="7">
        <v>30.9</v>
      </c>
      <c r="K411" s="7">
        <v>0</v>
      </c>
      <c r="L411" s="7">
        <v>24006.58</v>
      </c>
      <c r="M411" t="s">
        <v>678</v>
      </c>
      <c r="N411" t="s">
        <v>55</v>
      </c>
      <c r="O411">
        <v>21</v>
      </c>
      <c r="P411" s="5" t="s">
        <v>1065</v>
      </c>
    </row>
    <row r="412" spans="1:16">
      <c r="A412" s="4">
        <v>46227</v>
      </c>
      <c r="B412" t="s">
        <v>966</v>
      </c>
      <c r="C412" s="5" t="s">
        <v>1066</v>
      </c>
      <c r="D412" t="s">
        <v>100</v>
      </c>
      <c r="E412" t="s">
        <v>5</v>
      </c>
      <c r="F412" t="s">
        <v>25</v>
      </c>
      <c r="G412" t="s">
        <v>33</v>
      </c>
      <c r="H412" s="5" t="s">
        <v>968</v>
      </c>
      <c r="I412" s="7">
        <v>-9.07</v>
      </c>
      <c r="J412" s="7">
        <v>9.07</v>
      </c>
      <c r="K412" s="7">
        <v>0</v>
      </c>
      <c r="L412" s="7">
        <v>23997.51</v>
      </c>
      <c r="M412" t="s">
        <v>678</v>
      </c>
      <c r="N412" t="s">
        <v>55</v>
      </c>
      <c r="O412">
        <v>22</v>
      </c>
      <c r="P412" s="5" t="s">
        <v>1067</v>
      </c>
    </row>
    <row r="413" spans="1:16">
      <c r="A413" s="4">
        <v>46227</v>
      </c>
      <c r="B413" t="s">
        <v>1068</v>
      </c>
      <c r="C413" s="5" t="s">
        <v>1069</v>
      </c>
      <c r="D413" t="s">
        <v>1070</v>
      </c>
      <c r="E413" t="s">
        <v>3</v>
      </c>
      <c r="F413" t="s">
        <v>26</v>
      </c>
      <c r="G413" t="s">
        <v>33</v>
      </c>
      <c r="H413" s="5" t="s">
        <v>1071</v>
      </c>
      <c r="I413" s="7">
        <v>-5.86</v>
      </c>
      <c r="J413" s="7">
        <v>5.86</v>
      </c>
      <c r="K413" s="7">
        <v>0</v>
      </c>
      <c r="L413" s="7">
        <v>23991.65</v>
      </c>
      <c r="M413" t="s">
        <v>678</v>
      </c>
      <c r="N413" t="s">
        <v>55</v>
      </c>
      <c r="O413">
        <v>22</v>
      </c>
      <c r="P413" s="5" t="s">
        <v>1072</v>
      </c>
    </row>
    <row r="414" spans="1:16">
      <c r="A414" s="4">
        <v>46227</v>
      </c>
      <c r="B414" t="s">
        <v>1073</v>
      </c>
      <c r="C414" s="5" t="s">
        <v>1074</v>
      </c>
      <c r="D414" t="s">
        <v>1075</v>
      </c>
      <c r="E414" t="s">
        <v>17</v>
      </c>
      <c r="F414" t="s">
        <v>29</v>
      </c>
      <c r="G414" s="8" t="s">
        <v>36</v>
      </c>
      <c r="H414" s="5"/>
      <c r="I414" s="7">
        <v>-18.3</v>
      </c>
      <c r="J414" s="7">
        <v>18.3</v>
      </c>
      <c r="K414" s="7">
        <v>0</v>
      </c>
      <c r="L414" s="7">
        <v>23973.35</v>
      </c>
      <c r="M414" t="s">
        <v>678</v>
      </c>
      <c r="N414" t="s">
        <v>55</v>
      </c>
      <c r="O414">
        <v>22</v>
      </c>
      <c r="P414" s="5" t="s">
        <v>1076</v>
      </c>
    </row>
    <row r="415" spans="1:16">
      <c r="A415" s="4">
        <v>46227</v>
      </c>
      <c r="B415" t="s">
        <v>1077</v>
      </c>
      <c r="C415" s="5" t="s">
        <v>1074</v>
      </c>
      <c r="D415" t="s">
        <v>1078</v>
      </c>
      <c r="E415" t="s">
        <v>17</v>
      </c>
      <c r="F415" t="s">
        <v>29</v>
      </c>
      <c r="G415" s="8" t="s">
        <v>36</v>
      </c>
      <c r="H415" s="5"/>
      <c r="I415" s="7">
        <v>-26.6</v>
      </c>
      <c r="J415" s="7">
        <v>26.6</v>
      </c>
      <c r="K415" s="7">
        <v>0</v>
      </c>
      <c r="L415" s="7">
        <v>23946.75</v>
      </c>
      <c r="M415" t="s">
        <v>678</v>
      </c>
      <c r="N415" t="s">
        <v>55</v>
      </c>
      <c r="O415">
        <v>22</v>
      </c>
      <c r="P415" s="5" t="s">
        <v>1079</v>
      </c>
    </row>
    <row r="416" spans="1:16">
      <c r="A416" s="4">
        <v>46227</v>
      </c>
      <c r="B416" t="s">
        <v>1077</v>
      </c>
      <c r="C416" s="5" t="s">
        <v>1074</v>
      </c>
      <c r="D416" t="s">
        <v>1078</v>
      </c>
      <c r="E416" t="s">
        <v>17</v>
      </c>
      <c r="F416" t="s">
        <v>29</v>
      </c>
      <c r="G416" s="8" t="s">
        <v>36</v>
      </c>
      <c r="H416" s="5"/>
      <c r="I416" s="7">
        <v>-39.85</v>
      </c>
      <c r="J416" s="7">
        <v>39.85</v>
      </c>
      <c r="K416" s="7">
        <v>0</v>
      </c>
      <c r="L416" s="7">
        <v>23906.9</v>
      </c>
      <c r="M416" t="s">
        <v>678</v>
      </c>
      <c r="N416" t="s">
        <v>55</v>
      </c>
      <c r="O416">
        <v>22</v>
      </c>
      <c r="P416" s="5" t="s">
        <v>1080</v>
      </c>
    </row>
    <row r="417" spans="1:16">
      <c r="A417" s="4">
        <v>46227</v>
      </c>
      <c r="B417" t="s">
        <v>311</v>
      </c>
      <c r="C417" s="5"/>
      <c r="D417" t="s">
        <v>312</v>
      </c>
      <c r="E417" t="s">
        <v>3</v>
      </c>
      <c r="F417" t="s">
        <v>26</v>
      </c>
      <c r="G417" t="s">
        <v>35</v>
      </c>
      <c r="H417" s="5" t="s">
        <v>75</v>
      </c>
      <c r="I417" s="7">
        <v>-5</v>
      </c>
      <c r="J417" s="7">
        <v>5</v>
      </c>
      <c r="K417" s="7">
        <v>0</v>
      </c>
      <c r="L417" s="7">
        <v>23901.9</v>
      </c>
      <c r="M417" t="s">
        <v>678</v>
      </c>
      <c r="N417" t="s">
        <v>55</v>
      </c>
      <c r="O417">
        <v>22</v>
      </c>
      <c r="P417" s="5" t="s">
        <v>1081</v>
      </c>
    </row>
    <row r="418" spans="1:16">
      <c r="A418" s="4">
        <v>46227</v>
      </c>
      <c r="B418" t="s">
        <v>205</v>
      </c>
      <c r="C418" s="5"/>
      <c r="D418" t="s">
        <v>206</v>
      </c>
      <c r="E418" t="s">
        <v>3</v>
      </c>
      <c r="F418" t="s">
        <v>26</v>
      </c>
      <c r="G418" t="s">
        <v>35</v>
      </c>
      <c r="H418" s="5" t="s">
        <v>207</v>
      </c>
      <c r="I418" s="7">
        <v>-19.3</v>
      </c>
      <c r="J418" s="7">
        <v>19.3</v>
      </c>
      <c r="K418" s="7">
        <v>0</v>
      </c>
      <c r="L418" s="7">
        <v>23882.6</v>
      </c>
      <c r="M418" t="s">
        <v>678</v>
      </c>
      <c r="N418" t="s">
        <v>55</v>
      </c>
      <c r="O418">
        <v>22</v>
      </c>
      <c r="P418" s="5" t="s">
        <v>1082</v>
      </c>
    </row>
    <row r="419" spans="1:16">
      <c r="A419" s="4">
        <v>46227</v>
      </c>
      <c r="B419" t="s">
        <v>128</v>
      </c>
      <c r="C419" s="5"/>
      <c r="D419" t="s">
        <v>129</v>
      </c>
      <c r="E419" t="s">
        <v>3</v>
      </c>
      <c r="F419" t="s">
        <v>26</v>
      </c>
      <c r="G419" t="s">
        <v>35</v>
      </c>
      <c r="H419" s="5" t="s">
        <v>130</v>
      </c>
      <c r="I419" s="7">
        <v>-23.9</v>
      </c>
      <c r="J419" s="7">
        <v>23.9</v>
      </c>
      <c r="K419" s="7">
        <v>0</v>
      </c>
      <c r="L419" s="7">
        <v>23858.7</v>
      </c>
      <c r="M419" t="s">
        <v>678</v>
      </c>
      <c r="N419" t="s">
        <v>55</v>
      </c>
      <c r="O419">
        <v>22</v>
      </c>
      <c r="P419" s="5" t="s">
        <v>1083</v>
      </c>
    </row>
    <row r="420" spans="1:16">
      <c r="A420" s="4">
        <v>46227</v>
      </c>
      <c r="B420" t="s">
        <v>1084</v>
      </c>
      <c r="C420" s="5"/>
      <c r="D420" t="s">
        <v>1085</v>
      </c>
      <c r="E420" t="s">
        <v>8</v>
      </c>
      <c r="F420" t="s">
        <v>26</v>
      </c>
      <c r="G420" t="s">
        <v>33</v>
      </c>
      <c r="H420" s="5" t="s">
        <v>1086</v>
      </c>
      <c r="I420" s="7">
        <v>-3.98</v>
      </c>
      <c r="J420" s="7">
        <v>3.98</v>
      </c>
      <c r="K420" s="7">
        <v>0</v>
      </c>
      <c r="L420" s="7">
        <v>23854.72</v>
      </c>
      <c r="M420" t="s">
        <v>678</v>
      </c>
      <c r="N420" t="s">
        <v>55</v>
      </c>
      <c r="O420">
        <v>22</v>
      </c>
      <c r="P420" s="5" t="s">
        <v>1087</v>
      </c>
    </row>
    <row r="421" spans="1:16">
      <c r="A421" s="4">
        <v>46227</v>
      </c>
      <c r="B421" t="s">
        <v>1088</v>
      </c>
      <c r="C421" s="5"/>
      <c r="D421" t="s">
        <v>1089</v>
      </c>
      <c r="E421" t="s">
        <v>17</v>
      </c>
      <c r="F421" t="s">
        <v>29</v>
      </c>
      <c r="G421" s="8" t="s">
        <v>36</v>
      </c>
      <c r="H421" s="5"/>
      <c r="I421" s="7">
        <v>-4.2</v>
      </c>
      <c r="J421" s="7">
        <v>4.2</v>
      </c>
      <c r="K421" s="7">
        <v>0</v>
      </c>
      <c r="L421" s="7">
        <v>23850.52</v>
      </c>
      <c r="M421" t="s">
        <v>678</v>
      </c>
      <c r="N421" t="s">
        <v>55</v>
      </c>
      <c r="O421">
        <v>22</v>
      </c>
      <c r="P421" s="5" t="s">
        <v>1090</v>
      </c>
    </row>
    <row r="422" spans="1:16">
      <c r="A422" s="4">
        <v>46227</v>
      </c>
      <c r="B422" t="s">
        <v>1091</v>
      </c>
      <c r="C422" s="5"/>
      <c r="D422" t="s">
        <v>1092</v>
      </c>
      <c r="E422" t="s">
        <v>3</v>
      </c>
      <c r="F422" t="s">
        <v>26</v>
      </c>
      <c r="G422" t="s">
        <v>35</v>
      </c>
      <c r="H422" s="5" t="s">
        <v>1093</v>
      </c>
      <c r="I422" s="7">
        <v>-129.84</v>
      </c>
      <c r="J422" s="7">
        <v>129.84</v>
      </c>
      <c r="K422" s="7">
        <v>0</v>
      </c>
      <c r="L422" s="7">
        <v>23720.68</v>
      </c>
      <c r="M422" t="s">
        <v>678</v>
      </c>
      <c r="N422" t="s">
        <v>55</v>
      </c>
      <c r="O422">
        <v>22</v>
      </c>
      <c r="P422" s="5" t="s">
        <v>1094</v>
      </c>
    </row>
    <row r="423" spans="1:16">
      <c r="A423" s="4">
        <v>46227</v>
      </c>
      <c r="B423" t="s">
        <v>1095</v>
      </c>
      <c r="C423" s="5"/>
      <c r="D423" t="s">
        <v>1096</v>
      </c>
      <c r="E423" t="s">
        <v>17</v>
      </c>
      <c r="F423" t="s">
        <v>29</v>
      </c>
      <c r="G423" s="8" t="s">
        <v>36</v>
      </c>
      <c r="H423" s="5"/>
      <c r="I423" s="7">
        <v>-30.33</v>
      </c>
      <c r="J423" s="7">
        <v>30.33</v>
      </c>
      <c r="K423" s="7">
        <v>0</v>
      </c>
      <c r="L423" s="7">
        <v>23690.35</v>
      </c>
      <c r="M423" t="s">
        <v>678</v>
      </c>
      <c r="N423" t="s">
        <v>55</v>
      </c>
      <c r="O423">
        <v>22</v>
      </c>
      <c r="P423" s="5" t="s">
        <v>1097</v>
      </c>
    </row>
    <row r="424" spans="1:16">
      <c r="A424" s="4">
        <v>46227</v>
      </c>
      <c r="B424" t="s">
        <v>1095</v>
      </c>
      <c r="C424" s="5"/>
      <c r="D424" t="s">
        <v>1096</v>
      </c>
      <c r="E424" t="s">
        <v>17</v>
      </c>
      <c r="F424" t="s">
        <v>29</v>
      </c>
      <c r="G424" s="8" t="s">
        <v>36</v>
      </c>
      <c r="H424" s="5"/>
      <c r="I424" s="7">
        <v>-30.33</v>
      </c>
      <c r="J424" s="7">
        <v>30.33</v>
      </c>
      <c r="K424" s="7">
        <v>0</v>
      </c>
      <c r="L424" s="7">
        <v>23660.02</v>
      </c>
      <c r="M424" t="s">
        <v>678</v>
      </c>
      <c r="N424" t="s">
        <v>55</v>
      </c>
      <c r="O424">
        <v>22</v>
      </c>
      <c r="P424" s="5" t="s">
        <v>1098</v>
      </c>
    </row>
    <row r="425" spans="1:16">
      <c r="A425" s="4">
        <v>46227</v>
      </c>
      <c r="B425" t="s">
        <v>1095</v>
      </c>
      <c r="C425" s="5"/>
      <c r="D425" t="s">
        <v>1096</v>
      </c>
      <c r="E425" t="s">
        <v>17</v>
      </c>
      <c r="F425" t="s">
        <v>29</v>
      </c>
      <c r="G425" s="8" t="s">
        <v>36</v>
      </c>
      <c r="H425" s="5"/>
      <c r="I425" s="7">
        <v>-10.11</v>
      </c>
      <c r="J425" s="7">
        <v>10.11</v>
      </c>
      <c r="K425" s="7">
        <v>0</v>
      </c>
      <c r="L425" s="7">
        <v>23649.91</v>
      </c>
      <c r="M425" t="s">
        <v>678</v>
      </c>
      <c r="N425" t="s">
        <v>55</v>
      </c>
      <c r="O425">
        <v>22</v>
      </c>
      <c r="P425" s="5" t="s">
        <v>1099</v>
      </c>
    </row>
    <row r="426" spans="1:16">
      <c r="A426" s="4">
        <v>46228</v>
      </c>
      <c r="B426" t="s">
        <v>235</v>
      </c>
      <c r="C426" s="5" t="s">
        <v>1100</v>
      </c>
      <c r="D426" t="s">
        <v>100</v>
      </c>
      <c r="E426" t="s">
        <v>5</v>
      </c>
      <c r="F426" t="s">
        <v>25</v>
      </c>
      <c r="G426" t="s">
        <v>33</v>
      </c>
      <c r="H426" s="5" t="s">
        <v>101</v>
      </c>
      <c r="I426" s="7">
        <v>-60</v>
      </c>
      <c r="J426" s="7">
        <v>60</v>
      </c>
      <c r="K426" s="7">
        <v>0</v>
      </c>
      <c r="L426" s="7">
        <v>23589.91</v>
      </c>
      <c r="M426" t="s">
        <v>678</v>
      </c>
      <c r="N426" t="s">
        <v>55</v>
      </c>
      <c r="O426">
        <v>22</v>
      </c>
      <c r="P426" s="5" t="s">
        <v>1101</v>
      </c>
    </row>
    <row r="427" spans="1:16">
      <c r="A427" s="4">
        <v>46228</v>
      </c>
      <c r="B427" t="s">
        <v>73</v>
      </c>
      <c r="C427" s="5" t="s">
        <v>1066</v>
      </c>
      <c r="D427" t="s">
        <v>74</v>
      </c>
      <c r="E427" t="s">
        <v>3</v>
      </c>
      <c r="F427" t="s">
        <v>26</v>
      </c>
      <c r="G427" t="s">
        <v>35</v>
      </c>
      <c r="H427" s="5" t="s">
        <v>75</v>
      </c>
      <c r="I427" s="7">
        <v>-15.72</v>
      </c>
      <c r="J427" s="7">
        <v>15.72</v>
      </c>
      <c r="K427" s="7">
        <v>0</v>
      </c>
      <c r="L427" s="7">
        <v>23574.19</v>
      </c>
      <c r="M427" t="s">
        <v>678</v>
      </c>
      <c r="N427" t="s">
        <v>55</v>
      </c>
      <c r="O427">
        <v>22</v>
      </c>
      <c r="P427" s="5" t="s">
        <v>1102</v>
      </c>
    </row>
    <row r="428" spans="1:16">
      <c r="A428" s="4">
        <v>46228</v>
      </c>
      <c r="B428" t="s">
        <v>81</v>
      </c>
      <c r="C428" s="5" t="s">
        <v>1066</v>
      </c>
      <c r="D428" t="s">
        <v>83</v>
      </c>
      <c r="E428" t="s">
        <v>2</v>
      </c>
      <c r="F428" t="s">
        <v>25</v>
      </c>
      <c r="G428" t="s">
        <v>35</v>
      </c>
      <c r="H428" s="5" t="s">
        <v>84</v>
      </c>
      <c r="I428" s="7">
        <v>-29.02</v>
      </c>
      <c r="J428" s="7">
        <v>29.02</v>
      </c>
      <c r="K428" s="7">
        <v>0</v>
      </c>
      <c r="L428" s="7">
        <v>23545.17</v>
      </c>
      <c r="M428" t="s">
        <v>678</v>
      </c>
      <c r="N428" t="s">
        <v>55</v>
      </c>
      <c r="O428">
        <v>22</v>
      </c>
      <c r="P428" s="5" t="s">
        <v>1103</v>
      </c>
    </row>
    <row r="429" spans="1:16">
      <c r="A429" s="4">
        <v>46228</v>
      </c>
      <c r="B429" t="s">
        <v>966</v>
      </c>
      <c r="C429" s="5" t="s">
        <v>1104</v>
      </c>
      <c r="D429" t="s">
        <v>100</v>
      </c>
      <c r="E429" t="s">
        <v>5</v>
      </c>
      <c r="F429" t="s">
        <v>25</v>
      </c>
      <c r="G429" t="s">
        <v>33</v>
      </c>
      <c r="H429" s="5" t="s">
        <v>968</v>
      </c>
      <c r="I429" s="7">
        <v>-4.03</v>
      </c>
      <c r="J429" s="7">
        <v>4.03</v>
      </c>
      <c r="K429" s="7">
        <v>0</v>
      </c>
      <c r="L429" s="7">
        <v>23541.14</v>
      </c>
      <c r="M429" t="s">
        <v>678</v>
      </c>
      <c r="N429" t="s">
        <v>55</v>
      </c>
      <c r="O429">
        <v>22</v>
      </c>
      <c r="P429" s="5" t="s">
        <v>1105</v>
      </c>
    </row>
    <row r="430" spans="1:16">
      <c r="A430" s="4">
        <v>46228</v>
      </c>
      <c r="B430" t="s">
        <v>1073</v>
      </c>
      <c r="C430" s="5" t="s">
        <v>1106</v>
      </c>
      <c r="D430" t="s">
        <v>1075</v>
      </c>
      <c r="E430" t="s">
        <v>17</v>
      </c>
      <c r="F430" t="s">
        <v>29</v>
      </c>
      <c r="G430" s="8" t="s">
        <v>36</v>
      </c>
      <c r="H430" s="5"/>
      <c r="I430" s="7">
        <v>-8.130000000000001</v>
      </c>
      <c r="J430" s="7">
        <v>8.130000000000001</v>
      </c>
      <c r="K430" s="7">
        <v>0</v>
      </c>
      <c r="L430" s="7">
        <v>23533.01</v>
      </c>
      <c r="M430" t="s">
        <v>678</v>
      </c>
      <c r="N430" t="s">
        <v>55</v>
      </c>
      <c r="O430">
        <v>22</v>
      </c>
      <c r="P430" s="5" t="s">
        <v>1107</v>
      </c>
    </row>
    <row r="431" spans="1:16">
      <c r="A431" s="4">
        <v>46228</v>
      </c>
      <c r="B431" t="s">
        <v>1073</v>
      </c>
      <c r="C431" s="5" t="s">
        <v>1104</v>
      </c>
      <c r="D431" t="s">
        <v>1075</v>
      </c>
      <c r="E431" t="s">
        <v>17</v>
      </c>
      <c r="F431" t="s">
        <v>29</v>
      </c>
      <c r="G431" s="8" t="s">
        <v>36</v>
      </c>
      <c r="H431" s="5"/>
      <c r="I431" s="7">
        <v>-11.69</v>
      </c>
      <c r="J431" s="7">
        <v>11.69</v>
      </c>
      <c r="K431" s="7">
        <v>0</v>
      </c>
      <c r="L431" s="7">
        <v>23521.32</v>
      </c>
      <c r="M431" t="s">
        <v>678</v>
      </c>
      <c r="N431" t="s">
        <v>55</v>
      </c>
      <c r="O431">
        <v>22</v>
      </c>
      <c r="P431" s="5" t="s">
        <v>1108</v>
      </c>
    </row>
    <row r="432" spans="1:16">
      <c r="A432" s="4">
        <v>46228</v>
      </c>
      <c r="B432" t="s">
        <v>1109</v>
      </c>
      <c r="C432" s="5"/>
      <c r="D432" t="s">
        <v>1110</v>
      </c>
      <c r="E432" t="s">
        <v>3</v>
      </c>
      <c r="F432" t="s">
        <v>26</v>
      </c>
      <c r="G432" t="s">
        <v>35</v>
      </c>
      <c r="H432" s="5" t="s">
        <v>768</v>
      </c>
      <c r="I432" s="7">
        <v>-20.2</v>
      </c>
      <c r="J432" s="7">
        <v>20.2</v>
      </c>
      <c r="K432" s="7">
        <v>0</v>
      </c>
      <c r="L432" s="7">
        <v>23501.12</v>
      </c>
      <c r="M432" t="s">
        <v>678</v>
      </c>
      <c r="N432" t="s">
        <v>55</v>
      </c>
      <c r="O432">
        <v>22</v>
      </c>
      <c r="P432" s="5" t="s">
        <v>1111</v>
      </c>
    </row>
    <row r="433" spans="1:16">
      <c r="A433" s="4">
        <v>46228</v>
      </c>
      <c r="B433" t="s">
        <v>1112</v>
      </c>
      <c r="C433" s="5"/>
      <c r="D433" t="s">
        <v>1113</v>
      </c>
      <c r="E433" t="s">
        <v>17</v>
      </c>
      <c r="F433" t="s">
        <v>29</v>
      </c>
      <c r="G433" s="8" t="s">
        <v>36</v>
      </c>
      <c r="H433" s="5"/>
      <c r="I433" s="7">
        <v>-7</v>
      </c>
      <c r="J433" s="7">
        <v>7</v>
      </c>
      <c r="K433" s="7">
        <v>0</v>
      </c>
      <c r="L433" s="7">
        <v>23494.12</v>
      </c>
      <c r="M433" t="s">
        <v>678</v>
      </c>
      <c r="N433" t="s">
        <v>55</v>
      </c>
      <c r="O433">
        <v>23</v>
      </c>
      <c r="P433" s="5" t="s">
        <v>1114</v>
      </c>
    </row>
    <row r="434" spans="1:16">
      <c r="A434" s="4">
        <v>46228</v>
      </c>
      <c r="B434" t="s">
        <v>133</v>
      </c>
      <c r="C434" s="5"/>
      <c r="D434" t="s">
        <v>83</v>
      </c>
      <c r="E434" t="s">
        <v>2</v>
      </c>
      <c r="F434" t="s">
        <v>25</v>
      </c>
      <c r="G434" t="s">
        <v>35</v>
      </c>
      <c r="H434" s="5" t="s">
        <v>84</v>
      </c>
      <c r="I434" s="7">
        <v>-7.8</v>
      </c>
      <c r="J434" s="7">
        <v>7.8</v>
      </c>
      <c r="K434" s="7">
        <v>0</v>
      </c>
      <c r="L434" s="7">
        <v>23486.32</v>
      </c>
      <c r="M434" t="s">
        <v>678</v>
      </c>
      <c r="N434" t="s">
        <v>55</v>
      </c>
      <c r="O434">
        <v>23</v>
      </c>
      <c r="P434" s="5" t="s">
        <v>1115</v>
      </c>
    </row>
    <row r="435" spans="1:16">
      <c r="A435" s="4">
        <v>46229</v>
      </c>
      <c r="B435" t="s">
        <v>1116</v>
      </c>
      <c r="C435" s="5"/>
      <c r="D435" t="s">
        <v>1117</v>
      </c>
      <c r="E435" t="s">
        <v>17</v>
      </c>
      <c r="F435" t="s">
        <v>29</v>
      </c>
      <c r="G435" s="8" t="s">
        <v>36</v>
      </c>
      <c r="H435" s="5"/>
      <c r="I435" s="7">
        <v>-6</v>
      </c>
      <c r="J435" s="7">
        <v>6</v>
      </c>
      <c r="K435" s="7">
        <v>0</v>
      </c>
      <c r="L435" s="7">
        <v>23480.32</v>
      </c>
      <c r="M435" t="s">
        <v>678</v>
      </c>
      <c r="N435" t="s">
        <v>55</v>
      </c>
      <c r="O435">
        <v>23</v>
      </c>
      <c r="P435" s="5" t="s">
        <v>1118</v>
      </c>
    </row>
    <row r="436" spans="1:16">
      <c r="A436" s="4">
        <v>46229</v>
      </c>
      <c r="B436" t="s">
        <v>1119</v>
      </c>
      <c r="C436" s="5"/>
      <c r="D436" t="s">
        <v>1120</v>
      </c>
      <c r="E436" t="s">
        <v>9</v>
      </c>
      <c r="F436" t="s">
        <v>26</v>
      </c>
      <c r="G436" s="6" t="s">
        <v>34</v>
      </c>
      <c r="H436" s="5" t="s">
        <v>1121</v>
      </c>
      <c r="I436" s="7">
        <v>-84.33</v>
      </c>
      <c r="J436" s="7">
        <v>84.33</v>
      </c>
      <c r="K436" s="7">
        <v>0</v>
      </c>
      <c r="L436" s="7">
        <v>23395.99</v>
      </c>
      <c r="M436" t="s">
        <v>678</v>
      </c>
      <c r="N436" t="s">
        <v>55</v>
      </c>
      <c r="O436">
        <v>23</v>
      </c>
      <c r="P436" s="5" t="s">
        <v>1122</v>
      </c>
    </row>
    <row r="437" spans="1:16">
      <c r="A437" s="4">
        <v>46229</v>
      </c>
      <c r="B437" t="s">
        <v>1123</v>
      </c>
      <c r="C437" s="5"/>
      <c r="D437" t="s">
        <v>1124</v>
      </c>
      <c r="E437" t="s">
        <v>17</v>
      </c>
      <c r="F437" t="s">
        <v>29</v>
      </c>
      <c r="G437" s="8" t="s">
        <v>36</v>
      </c>
      <c r="H437" s="5"/>
      <c r="I437" s="7">
        <v>-29.99</v>
      </c>
      <c r="J437" s="7">
        <v>29.99</v>
      </c>
      <c r="K437" s="7">
        <v>0</v>
      </c>
      <c r="L437" s="7">
        <v>23366</v>
      </c>
      <c r="M437" t="s">
        <v>678</v>
      </c>
      <c r="N437" t="s">
        <v>55</v>
      </c>
      <c r="O437">
        <v>23</v>
      </c>
      <c r="P437" s="5" t="s">
        <v>1125</v>
      </c>
    </row>
    <row r="438" spans="1:16">
      <c r="A438" s="4">
        <v>46229</v>
      </c>
      <c r="B438" t="s">
        <v>744</v>
      </c>
      <c r="C438" s="5"/>
      <c r="D438" t="s">
        <v>744</v>
      </c>
      <c r="E438" t="s">
        <v>8</v>
      </c>
      <c r="F438" t="s">
        <v>26</v>
      </c>
      <c r="G438" t="s">
        <v>35</v>
      </c>
      <c r="H438" s="5" t="s">
        <v>745</v>
      </c>
      <c r="I438" s="7">
        <v>-6.98</v>
      </c>
      <c r="J438" s="7">
        <v>6.98</v>
      </c>
      <c r="K438" s="7">
        <v>0</v>
      </c>
      <c r="L438" s="7">
        <v>23359.02</v>
      </c>
      <c r="M438" t="s">
        <v>678</v>
      </c>
      <c r="N438" t="s">
        <v>55</v>
      </c>
      <c r="O438">
        <v>23</v>
      </c>
      <c r="P438" s="5" t="s">
        <v>1126</v>
      </c>
    </row>
    <row r="439" spans="1:16">
      <c r="A439" s="4">
        <v>46229</v>
      </c>
      <c r="B439" t="s">
        <v>1127</v>
      </c>
      <c r="C439" s="5"/>
      <c r="D439" t="s">
        <v>1128</v>
      </c>
      <c r="E439" t="s">
        <v>3</v>
      </c>
      <c r="F439" t="s">
        <v>26</v>
      </c>
      <c r="G439" t="s">
        <v>35</v>
      </c>
      <c r="H439" s="5" t="s">
        <v>295</v>
      </c>
      <c r="I439" s="7">
        <v>-18.78</v>
      </c>
      <c r="J439" s="7">
        <v>18.78</v>
      </c>
      <c r="K439" s="7">
        <v>0</v>
      </c>
      <c r="L439" s="7">
        <v>23340.24</v>
      </c>
      <c r="M439" t="s">
        <v>678</v>
      </c>
      <c r="N439" t="s">
        <v>55</v>
      </c>
      <c r="O439">
        <v>23</v>
      </c>
      <c r="P439" s="5" t="s">
        <v>1129</v>
      </c>
    </row>
    <row r="440" spans="1:16">
      <c r="A440" s="4">
        <v>46230</v>
      </c>
      <c r="B440" t="s">
        <v>1130</v>
      </c>
      <c r="C440" s="5"/>
      <c r="D440" t="s">
        <v>1131</v>
      </c>
      <c r="E440" t="s">
        <v>14</v>
      </c>
      <c r="F440" t="s">
        <v>27</v>
      </c>
      <c r="G440" t="s">
        <v>35</v>
      </c>
      <c r="H440" s="5" t="s">
        <v>1132</v>
      </c>
      <c r="I440" s="7">
        <v>-134</v>
      </c>
      <c r="J440" s="7">
        <v>134</v>
      </c>
      <c r="K440" s="7">
        <v>0</v>
      </c>
      <c r="L440" s="7">
        <v>23206.24</v>
      </c>
      <c r="M440" t="s">
        <v>678</v>
      </c>
      <c r="N440" t="s">
        <v>55</v>
      </c>
      <c r="O440">
        <v>23</v>
      </c>
      <c r="P440" s="5" t="s">
        <v>1133</v>
      </c>
    </row>
    <row r="441" spans="1:16">
      <c r="A441" s="4">
        <v>46230</v>
      </c>
      <c r="B441" t="s">
        <v>1134</v>
      </c>
      <c r="C441" s="5"/>
      <c r="D441" t="s">
        <v>1135</v>
      </c>
      <c r="E441" t="s">
        <v>3</v>
      </c>
      <c r="F441" t="s">
        <v>26</v>
      </c>
      <c r="G441" t="s">
        <v>35</v>
      </c>
      <c r="H441" s="5" t="s">
        <v>299</v>
      </c>
      <c r="I441" s="7">
        <v>-7.58</v>
      </c>
      <c r="J441" s="7">
        <v>7.58</v>
      </c>
      <c r="K441" s="7">
        <v>0</v>
      </c>
      <c r="L441" s="7">
        <v>23198.66</v>
      </c>
      <c r="M441" t="s">
        <v>678</v>
      </c>
      <c r="N441" t="s">
        <v>55</v>
      </c>
      <c r="O441">
        <v>23</v>
      </c>
      <c r="P441" s="5" t="s">
        <v>1136</v>
      </c>
    </row>
    <row r="442" spans="1:16">
      <c r="A442" s="4">
        <v>46230</v>
      </c>
      <c r="B442" t="s">
        <v>297</v>
      </c>
      <c r="C442" s="5"/>
      <c r="D442" t="s">
        <v>298</v>
      </c>
      <c r="E442" t="s">
        <v>3</v>
      </c>
      <c r="F442" t="s">
        <v>26</v>
      </c>
      <c r="G442" t="s">
        <v>35</v>
      </c>
      <c r="H442" s="5" t="s">
        <v>299</v>
      </c>
      <c r="I442" s="7">
        <v>-10.1</v>
      </c>
      <c r="J442" s="7">
        <v>10.1</v>
      </c>
      <c r="K442" s="7">
        <v>0</v>
      </c>
      <c r="L442" s="7">
        <v>23188.56</v>
      </c>
      <c r="M442" t="s">
        <v>678</v>
      </c>
      <c r="N442" t="s">
        <v>55</v>
      </c>
      <c r="O442">
        <v>23</v>
      </c>
      <c r="P442" s="5" t="s">
        <v>1137</v>
      </c>
    </row>
    <row r="443" spans="1:16">
      <c r="A443" s="4">
        <v>46230</v>
      </c>
      <c r="B443" t="s">
        <v>297</v>
      </c>
      <c r="C443" s="5"/>
      <c r="D443" t="s">
        <v>298</v>
      </c>
      <c r="E443" t="s">
        <v>3</v>
      </c>
      <c r="F443" t="s">
        <v>26</v>
      </c>
      <c r="G443" t="s">
        <v>35</v>
      </c>
      <c r="H443" s="5" t="s">
        <v>299</v>
      </c>
      <c r="I443" s="7">
        <v>-5.05</v>
      </c>
      <c r="J443" s="7">
        <v>5.05</v>
      </c>
      <c r="K443" s="7">
        <v>0</v>
      </c>
      <c r="L443" s="7">
        <v>23183.51</v>
      </c>
      <c r="M443" t="s">
        <v>678</v>
      </c>
      <c r="N443" t="s">
        <v>55</v>
      </c>
      <c r="O443">
        <v>23</v>
      </c>
      <c r="P443" s="5" t="s">
        <v>1138</v>
      </c>
    </row>
    <row r="444" spans="1:16">
      <c r="A444" s="4">
        <v>46231</v>
      </c>
      <c r="B444" t="s">
        <v>1139</v>
      </c>
      <c r="C444" s="5" t="s">
        <v>1140</v>
      </c>
      <c r="D444" t="s">
        <v>748</v>
      </c>
      <c r="E444" t="s">
        <v>8</v>
      </c>
      <c r="F444" t="s">
        <v>26</v>
      </c>
      <c r="G444" t="s">
        <v>35</v>
      </c>
      <c r="H444" s="5" t="s">
        <v>749</v>
      </c>
      <c r="I444" s="7">
        <v>-44</v>
      </c>
      <c r="J444" s="7">
        <v>44</v>
      </c>
      <c r="K444" s="7">
        <v>0</v>
      </c>
      <c r="L444" s="7">
        <v>23139.51</v>
      </c>
      <c r="M444" t="s">
        <v>678</v>
      </c>
      <c r="N444" t="s">
        <v>55</v>
      </c>
      <c r="O444">
        <v>23</v>
      </c>
      <c r="P444" s="5" t="s">
        <v>1141</v>
      </c>
    </row>
    <row r="445" spans="1:16">
      <c r="A445" s="4">
        <v>46231</v>
      </c>
      <c r="B445" t="s">
        <v>81</v>
      </c>
      <c r="C445" s="5" t="s">
        <v>1140</v>
      </c>
      <c r="D445" t="s">
        <v>83</v>
      </c>
      <c r="E445" t="s">
        <v>2</v>
      </c>
      <c r="F445" t="s">
        <v>25</v>
      </c>
      <c r="G445" t="s">
        <v>35</v>
      </c>
      <c r="H445" s="5" t="s">
        <v>84</v>
      </c>
      <c r="I445" s="7">
        <v>-67.39</v>
      </c>
      <c r="J445" s="7">
        <v>67.39</v>
      </c>
      <c r="K445" s="7">
        <v>0</v>
      </c>
      <c r="L445" s="7">
        <v>23072.12</v>
      </c>
      <c r="M445" t="s">
        <v>678</v>
      </c>
      <c r="N445" t="s">
        <v>55</v>
      </c>
      <c r="O445">
        <v>23</v>
      </c>
      <c r="P445" s="5" t="s">
        <v>1142</v>
      </c>
    </row>
    <row r="446" spans="1:16">
      <c r="A446" s="4">
        <v>46231</v>
      </c>
      <c r="B446" t="s">
        <v>966</v>
      </c>
      <c r="C446" s="5" t="s">
        <v>1143</v>
      </c>
      <c r="D446" t="s">
        <v>100</v>
      </c>
      <c r="E446" t="s">
        <v>5</v>
      </c>
      <c r="F446" t="s">
        <v>25</v>
      </c>
      <c r="G446" t="s">
        <v>33</v>
      </c>
      <c r="H446" s="5" t="s">
        <v>968</v>
      </c>
      <c r="I446" s="7">
        <v>-4.03</v>
      </c>
      <c r="J446" s="7">
        <v>4.03</v>
      </c>
      <c r="K446" s="7">
        <v>0</v>
      </c>
      <c r="L446" s="7">
        <v>23068.09</v>
      </c>
      <c r="M446" t="s">
        <v>678</v>
      </c>
      <c r="N446" t="s">
        <v>55</v>
      </c>
      <c r="O446">
        <v>23</v>
      </c>
      <c r="P446" s="5" t="s">
        <v>1144</v>
      </c>
    </row>
    <row r="447" spans="1:16">
      <c r="A447" s="4">
        <v>46231</v>
      </c>
      <c r="B447" t="s">
        <v>1145</v>
      </c>
      <c r="C447" s="5" t="s">
        <v>1143</v>
      </c>
      <c r="D447" t="s">
        <v>1146</v>
      </c>
      <c r="E447" t="s">
        <v>2</v>
      </c>
      <c r="F447" t="s">
        <v>25</v>
      </c>
      <c r="G447" s="6" t="s">
        <v>34</v>
      </c>
      <c r="H447" s="5" t="s">
        <v>1147</v>
      </c>
      <c r="I447" s="7">
        <v>-10.98</v>
      </c>
      <c r="J447" s="7">
        <v>10.98</v>
      </c>
      <c r="K447" s="7">
        <v>0</v>
      </c>
      <c r="L447" s="7">
        <v>23057.11</v>
      </c>
      <c r="M447" t="s">
        <v>678</v>
      </c>
      <c r="N447" t="s">
        <v>55</v>
      </c>
      <c r="O447">
        <v>23</v>
      </c>
      <c r="P447" s="5" t="s">
        <v>1148</v>
      </c>
    </row>
    <row r="448" spans="1:16">
      <c r="A448" s="4">
        <v>46231</v>
      </c>
      <c r="B448" t="s">
        <v>1149</v>
      </c>
      <c r="C448" s="5" t="s">
        <v>1143</v>
      </c>
      <c r="D448" t="s">
        <v>1150</v>
      </c>
      <c r="E448" t="s">
        <v>3</v>
      </c>
      <c r="F448" t="s">
        <v>26</v>
      </c>
      <c r="G448" t="s">
        <v>35</v>
      </c>
      <c r="H448" s="5" t="s">
        <v>1151</v>
      </c>
      <c r="I448" s="7">
        <v>-24.9</v>
      </c>
      <c r="J448" s="7">
        <v>24.9</v>
      </c>
      <c r="K448" s="7">
        <v>0</v>
      </c>
      <c r="L448" s="7">
        <v>23032.21</v>
      </c>
      <c r="M448" t="s">
        <v>678</v>
      </c>
      <c r="N448" t="s">
        <v>55</v>
      </c>
      <c r="O448">
        <v>23</v>
      </c>
      <c r="P448" s="5" t="s">
        <v>1152</v>
      </c>
    </row>
    <row r="449" spans="1:16">
      <c r="A449" s="4">
        <v>46231</v>
      </c>
      <c r="B449" t="s">
        <v>1153</v>
      </c>
      <c r="C449" s="5" t="s">
        <v>1106</v>
      </c>
      <c r="D449" t="s">
        <v>1154</v>
      </c>
      <c r="E449" t="s">
        <v>17</v>
      </c>
      <c r="F449" t="s">
        <v>29</v>
      </c>
      <c r="G449" s="8" t="s">
        <v>36</v>
      </c>
      <c r="H449" s="5"/>
      <c r="I449" s="7">
        <v>-3.99</v>
      </c>
      <c r="J449" s="7">
        <v>3.99</v>
      </c>
      <c r="K449" s="7">
        <v>0</v>
      </c>
      <c r="L449" s="7">
        <v>23028.22</v>
      </c>
      <c r="M449" t="s">
        <v>678</v>
      </c>
      <c r="N449" t="s">
        <v>55</v>
      </c>
      <c r="O449">
        <v>23</v>
      </c>
      <c r="P449" s="5" t="s">
        <v>1155</v>
      </c>
    </row>
    <row r="450" spans="1:16">
      <c r="A450" s="4">
        <v>46231</v>
      </c>
      <c r="B450" t="s">
        <v>1156</v>
      </c>
      <c r="C450" s="5" t="s">
        <v>1106</v>
      </c>
      <c r="D450" t="s">
        <v>1157</v>
      </c>
      <c r="E450" t="s">
        <v>17</v>
      </c>
      <c r="F450" t="s">
        <v>29</v>
      </c>
      <c r="G450" s="8" t="s">
        <v>36</v>
      </c>
      <c r="H450" s="5"/>
      <c r="I450" s="7">
        <v>-2.5</v>
      </c>
      <c r="J450" s="7">
        <v>2.5</v>
      </c>
      <c r="K450" s="7">
        <v>0</v>
      </c>
      <c r="L450" s="7">
        <v>23025.72</v>
      </c>
      <c r="M450" t="s">
        <v>678</v>
      </c>
      <c r="N450" t="s">
        <v>55</v>
      </c>
      <c r="O450">
        <v>23</v>
      </c>
      <c r="P450" s="5" t="s">
        <v>1158</v>
      </c>
    </row>
    <row r="451" spans="1:16">
      <c r="A451" s="4">
        <v>46231</v>
      </c>
      <c r="B451" t="s">
        <v>133</v>
      </c>
      <c r="C451" s="5"/>
      <c r="D451" t="s">
        <v>83</v>
      </c>
      <c r="E451" t="s">
        <v>2</v>
      </c>
      <c r="F451" t="s">
        <v>25</v>
      </c>
      <c r="G451" t="s">
        <v>35</v>
      </c>
      <c r="H451" s="5" t="s">
        <v>84</v>
      </c>
      <c r="I451" s="7">
        <v>-23.9</v>
      </c>
      <c r="J451" s="7">
        <v>23.9</v>
      </c>
      <c r="K451" s="7">
        <v>0</v>
      </c>
      <c r="L451" s="7">
        <v>23001.82</v>
      </c>
      <c r="M451" t="s">
        <v>678</v>
      </c>
      <c r="N451" t="s">
        <v>55</v>
      </c>
      <c r="O451">
        <v>23</v>
      </c>
      <c r="P451" s="5" t="s">
        <v>1159</v>
      </c>
    </row>
    <row r="452" spans="1:16">
      <c r="A452" s="4">
        <v>46231</v>
      </c>
      <c r="B452" t="s">
        <v>297</v>
      </c>
      <c r="C452" s="5"/>
      <c r="D452" t="s">
        <v>298</v>
      </c>
      <c r="E452" t="s">
        <v>3</v>
      </c>
      <c r="F452" t="s">
        <v>26</v>
      </c>
      <c r="G452" t="s">
        <v>35</v>
      </c>
      <c r="H452" s="5" t="s">
        <v>299</v>
      </c>
      <c r="I452" s="7">
        <v>-12.83</v>
      </c>
      <c r="J452" s="7">
        <v>12.83</v>
      </c>
      <c r="K452" s="7">
        <v>0</v>
      </c>
      <c r="L452" s="7">
        <v>22988.99</v>
      </c>
      <c r="M452" t="s">
        <v>678</v>
      </c>
      <c r="N452" t="s">
        <v>55</v>
      </c>
      <c r="O452">
        <v>23</v>
      </c>
      <c r="P452" s="5" t="s">
        <v>1160</v>
      </c>
    </row>
    <row r="453" spans="1:16">
      <c r="A453" s="4">
        <v>46231</v>
      </c>
      <c r="B453" t="s">
        <v>473</v>
      </c>
      <c r="C453" s="5"/>
      <c r="D453" t="s">
        <v>473</v>
      </c>
      <c r="E453" t="s">
        <v>2</v>
      </c>
      <c r="F453" t="s">
        <v>25</v>
      </c>
      <c r="G453" t="s">
        <v>35</v>
      </c>
      <c r="H453" s="5" t="s">
        <v>474</v>
      </c>
      <c r="I453" s="7">
        <v>-4.03</v>
      </c>
      <c r="J453" s="7">
        <v>4.03</v>
      </c>
      <c r="K453" s="7">
        <v>0</v>
      </c>
      <c r="L453" s="7">
        <v>22984.96</v>
      </c>
      <c r="M453" t="s">
        <v>678</v>
      </c>
      <c r="N453" t="s">
        <v>55</v>
      </c>
      <c r="O453">
        <v>23</v>
      </c>
      <c r="P453" s="5" t="s">
        <v>1161</v>
      </c>
    </row>
    <row r="454" spans="1:16">
      <c r="A454" s="4">
        <v>46232</v>
      </c>
      <c r="B454" t="s">
        <v>235</v>
      </c>
      <c r="C454" s="5" t="s">
        <v>1162</v>
      </c>
      <c r="D454" t="s">
        <v>100</v>
      </c>
      <c r="E454" t="s">
        <v>5</v>
      </c>
      <c r="F454" t="s">
        <v>25</v>
      </c>
      <c r="G454" t="s">
        <v>33</v>
      </c>
      <c r="H454" s="5" t="s">
        <v>101</v>
      </c>
      <c r="I454" s="7">
        <v>-60</v>
      </c>
      <c r="J454" s="7">
        <v>60</v>
      </c>
      <c r="K454" s="7">
        <v>0</v>
      </c>
      <c r="L454" s="7">
        <v>22924.96</v>
      </c>
      <c r="M454" t="s">
        <v>678</v>
      </c>
      <c r="N454" t="s">
        <v>55</v>
      </c>
      <c r="O454">
        <v>23</v>
      </c>
      <c r="P454" s="5" t="s">
        <v>1163</v>
      </c>
    </row>
    <row r="455" spans="1:16">
      <c r="A455" s="4">
        <v>46232</v>
      </c>
      <c r="B455" t="s">
        <v>109</v>
      </c>
      <c r="C455" s="5" t="s">
        <v>1164</v>
      </c>
      <c r="D455" t="s">
        <v>111</v>
      </c>
      <c r="E455" t="s">
        <v>3</v>
      </c>
      <c r="F455" t="s">
        <v>26</v>
      </c>
      <c r="G455" t="s">
        <v>35</v>
      </c>
      <c r="H455" s="5" t="s">
        <v>112</v>
      </c>
      <c r="I455" s="7">
        <v>-28.8</v>
      </c>
      <c r="J455" s="7">
        <v>28.8</v>
      </c>
      <c r="K455" s="7">
        <v>0</v>
      </c>
      <c r="L455" s="7">
        <v>22896.16</v>
      </c>
      <c r="M455" t="s">
        <v>678</v>
      </c>
      <c r="N455" t="s">
        <v>55</v>
      </c>
      <c r="O455">
        <v>23</v>
      </c>
      <c r="P455" s="5" t="s">
        <v>1165</v>
      </c>
    </row>
    <row r="456" spans="1:16">
      <c r="A456" s="4">
        <v>46232</v>
      </c>
      <c r="B456" t="s">
        <v>116</v>
      </c>
      <c r="C456" s="5" t="s">
        <v>1140</v>
      </c>
      <c r="D456" t="s">
        <v>117</v>
      </c>
      <c r="E456" t="s">
        <v>3</v>
      </c>
      <c r="F456" t="s">
        <v>26</v>
      </c>
      <c r="G456" t="s">
        <v>35</v>
      </c>
      <c r="H456" s="5" t="s">
        <v>118</v>
      </c>
      <c r="I456" s="7">
        <v>-6.6</v>
      </c>
      <c r="J456" s="7">
        <v>6.6</v>
      </c>
      <c r="K456" s="7">
        <v>0</v>
      </c>
      <c r="L456" s="7">
        <v>22889.56</v>
      </c>
      <c r="M456" t="s">
        <v>678</v>
      </c>
      <c r="N456" t="s">
        <v>55</v>
      </c>
      <c r="O456">
        <v>24</v>
      </c>
      <c r="P456" s="5" t="s">
        <v>1166</v>
      </c>
    </row>
    <row r="457" spans="1:16">
      <c r="A457" s="4">
        <v>46232</v>
      </c>
      <c r="B457" t="s">
        <v>1073</v>
      </c>
      <c r="C457" s="5" t="s">
        <v>1167</v>
      </c>
      <c r="D457" t="s">
        <v>1075</v>
      </c>
      <c r="E457" t="s">
        <v>17</v>
      </c>
      <c r="F457" t="s">
        <v>29</v>
      </c>
      <c r="G457" s="8" t="s">
        <v>36</v>
      </c>
      <c r="H457" s="5"/>
      <c r="I457" s="7">
        <v>-8.130000000000001</v>
      </c>
      <c r="J457" s="7">
        <v>8.130000000000001</v>
      </c>
      <c r="K457" s="7">
        <v>0</v>
      </c>
      <c r="L457" s="7">
        <v>22881.43</v>
      </c>
      <c r="M457" t="s">
        <v>678</v>
      </c>
      <c r="N457" t="s">
        <v>55</v>
      </c>
      <c r="O457">
        <v>24</v>
      </c>
      <c r="P457" s="5" t="s">
        <v>1168</v>
      </c>
    </row>
    <row r="458" spans="1:16">
      <c r="A458" s="4">
        <v>46232</v>
      </c>
      <c r="B458" t="s">
        <v>653</v>
      </c>
      <c r="C458" s="5" t="s">
        <v>1169</v>
      </c>
      <c r="D458" t="s">
        <v>655</v>
      </c>
      <c r="E458" t="s">
        <v>4</v>
      </c>
      <c r="F458" t="s">
        <v>25</v>
      </c>
      <c r="G458" t="s">
        <v>35</v>
      </c>
      <c r="H458" s="5" t="s">
        <v>656</v>
      </c>
      <c r="I458" s="7">
        <v>-16.95</v>
      </c>
      <c r="J458" s="7">
        <v>16.95</v>
      </c>
      <c r="K458" s="7">
        <v>0</v>
      </c>
      <c r="L458" s="7">
        <v>22864.48</v>
      </c>
      <c r="M458" t="s">
        <v>678</v>
      </c>
      <c r="N458" t="s">
        <v>55</v>
      </c>
      <c r="O458">
        <v>24</v>
      </c>
      <c r="P458" s="5" t="s">
        <v>1170</v>
      </c>
    </row>
    <row r="459" spans="1:16">
      <c r="A459" s="4">
        <v>46232</v>
      </c>
      <c r="B459" t="s">
        <v>183</v>
      </c>
      <c r="C459" s="5" t="s">
        <v>1171</v>
      </c>
      <c r="D459" t="s">
        <v>183</v>
      </c>
      <c r="E459" t="s">
        <v>13</v>
      </c>
      <c r="F459" t="s">
        <v>25</v>
      </c>
      <c r="G459" t="s">
        <v>35</v>
      </c>
      <c r="H459" s="5" t="s">
        <v>185</v>
      </c>
      <c r="I459" s="7">
        <v>-0.59</v>
      </c>
      <c r="J459" s="7">
        <v>0.59</v>
      </c>
      <c r="K459" s="7">
        <v>0</v>
      </c>
      <c r="L459" s="7">
        <v>22863.89</v>
      </c>
      <c r="M459" t="s">
        <v>678</v>
      </c>
      <c r="N459" t="s">
        <v>55</v>
      </c>
      <c r="O459">
        <v>24</v>
      </c>
      <c r="P459" s="5" t="s">
        <v>1172</v>
      </c>
    </row>
    <row r="460" spans="1:16">
      <c r="A460" s="4">
        <v>46232</v>
      </c>
      <c r="B460" t="s">
        <v>1073</v>
      </c>
      <c r="C460" s="5" t="s">
        <v>1173</v>
      </c>
      <c r="D460" t="s">
        <v>1075</v>
      </c>
      <c r="E460" t="s">
        <v>17</v>
      </c>
      <c r="F460" t="s">
        <v>29</v>
      </c>
      <c r="G460" s="8" t="s">
        <v>36</v>
      </c>
      <c r="H460" s="5"/>
      <c r="I460" s="7">
        <v>-5.08</v>
      </c>
      <c r="J460" s="7">
        <v>5.08</v>
      </c>
      <c r="K460" s="7">
        <v>0</v>
      </c>
      <c r="L460" s="7">
        <v>22858.81</v>
      </c>
      <c r="M460" t="s">
        <v>678</v>
      </c>
      <c r="N460" t="s">
        <v>55</v>
      </c>
      <c r="O460">
        <v>24</v>
      </c>
      <c r="P460" s="5" t="s">
        <v>1174</v>
      </c>
    </row>
    <row r="461" spans="1:16">
      <c r="A461" s="4">
        <v>46232</v>
      </c>
      <c r="B461" t="s">
        <v>1175</v>
      </c>
      <c r="C461" s="5" t="s">
        <v>1173</v>
      </c>
      <c r="D461" t="s">
        <v>1176</v>
      </c>
      <c r="E461" t="s">
        <v>17</v>
      </c>
      <c r="F461" t="s">
        <v>29</v>
      </c>
      <c r="G461" s="8" t="s">
        <v>36</v>
      </c>
      <c r="H461" s="5"/>
      <c r="I461" s="7">
        <v>-6.58</v>
      </c>
      <c r="J461" s="7">
        <v>6.58</v>
      </c>
      <c r="K461" s="7">
        <v>0</v>
      </c>
      <c r="L461" s="7">
        <v>22852.23</v>
      </c>
      <c r="M461" t="s">
        <v>678</v>
      </c>
      <c r="N461" t="s">
        <v>55</v>
      </c>
      <c r="O461">
        <v>24</v>
      </c>
      <c r="P461" s="5" t="s">
        <v>1177</v>
      </c>
    </row>
    <row r="462" spans="1:16">
      <c r="A462" s="4">
        <v>46232</v>
      </c>
      <c r="B462" t="s">
        <v>51</v>
      </c>
      <c r="C462" s="5"/>
      <c r="D462" t="s">
        <v>52</v>
      </c>
      <c r="E462" t="s">
        <v>3</v>
      </c>
      <c r="F462" t="s">
        <v>26</v>
      </c>
      <c r="G462" s="6" t="s">
        <v>34</v>
      </c>
      <c r="H462" s="5" t="s">
        <v>53</v>
      </c>
      <c r="I462" s="7">
        <v>-7.1</v>
      </c>
      <c r="J462" s="7">
        <v>7.1</v>
      </c>
      <c r="K462" s="7">
        <v>0</v>
      </c>
      <c r="L462" s="7">
        <v>22845.13</v>
      </c>
      <c r="M462" t="s">
        <v>678</v>
      </c>
      <c r="N462" t="s">
        <v>55</v>
      </c>
      <c r="O462">
        <v>24</v>
      </c>
      <c r="P462" s="5" t="s">
        <v>1178</v>
      </c>
    </row>
    <row r="463" spans="1:16">
      <c r="A463" s="4">
        <v>46232</v>
      </c>
      <c r="B463" t="s">
        <v>133</v>
      </c>
      <c r="C463" s="5"/>
      <c r="D463" t="s">
        <v>83</v>
      </c>
      <c r="E463" t="s">
        <v>2</v>
      </c>
      <c r="F463" t="s">
        <v>25</v>
      </c>
      <c r="G463" t="s">
        <v>35</v>
      </c>
      <c r="H463" s="5" t="s">
        <v>84</v>
      </c>
      <c r="I463" s="7">
        <v>-21.9</v>
      </c>
      <c r="J463" s="7">
        <v>21.9</v>
      </c>
      <c r="K463" s="7">
        <v>0</v>
      </c>
      <c r="L463" s="7">
        <v>22823.23</v>
      </c>
      <c r="M463" t="s">
        <v>678</v>
      </c>
      <c r="N463" t="s">
        <v>55</v>
      </c>
      <c r="O463">
        <v>24</v>
      </c>
      <c r="P463" s="5" t="s">
        <v>1179</v>
      </c>
    </row>
    <row r="464" spans="1:16">
      <c r="A464" s="4">
        <v>46232</v>
      </c>
      <c r="B464" t="s">
        <v>133</v>
      </c>
      <c r="C464" s="5"/>
      <c r="D464" t="s">
        <v>83</v>
      </c>
      <c r="E464" t="s">
        <v>2</v>
      </c>
      <c r="F464" t="s">
        <v>25</v>
      </c>
      <c r="G464" t="s">
        <v>35</v>
      </c>
      <c r="H464" s="5" t="s">
        <v>84</v>
      </c>
      <c r="I464" s="7">
        <v>-13.35</v>
      </c>
      <c r="J464" s="7">
        <v>13.35</v>
      </c>
      <c r="K464" s="7">
        <v>0</v>
      </c>
      <c r="L464" s="7">
        <v>22809.88</v>
      </c>
      <c r="M464" t="s">
        <v>678</v>
      </c>
      <c r="N464" t="s">
        <v>55</v>
      </c>
      <c r="O464">
        <v>24</v>
      </c>
      <c r="P464" s="5" t="s">
        <v>1180</v>
      </c>
    </row>
    <row r="465" spans="1:16">
      <c r="A465" s="4">
        <v>46232</v>
      </c>
      <c r="B465" t="s">
        <v>138</v>
      </c>
      <c r="C465" s="5" t="s">
        <v>1181</v>
      </c>
      <c r="D465" t="s">
        <v>138</v>
      </c>
      <c r="E465" t="s">
        <v>6</v>
      </c>
      <c r="F465" t="s">
        <v>26</v>
      </c>
      <c r="G465" t="s">
        <v>35</v>
      </c>
      <c r="H465" s="5" t="s">
        <v>140</v>
      </c>
      <c r="I465" s="7">
        <v>-68</v>
      </c>
      <c r="J465" s="7">
        <v>68</v>
      </c>
      <c r="K465" s="7">
        <v>0</v>
      </c>
      <c r="L465" s="7">
        <v>22741.88</v>
      </c>
      <c r="M465" t="s">
        <v>678</v>
      </c>
      <c r="N465" t="s">
        <v>55</v>
      </c>
      <c r="O465">
        <v>24</v>
      </c>
      <c r="P465" s="5" t="s">
        <v>1182</v>
      </c>
    </row>
    <row r="466" spans="1:16">
      <c r="A466" s="4">
        <v>46233</v>
      </c>
      <c r="B466" t="s">
        <v>280</v>
      </c>
      <c r="C466" s="5" t="s">
        <v>1183</v>
      </c>
      <c r="D466" t="s">
        <v>282</v>
      </c>
      <c r="E466" t="s">
        <v>8</v>
      </c>
      <c r="F466" t="s">
        <v>26</v>
      </c>
      <c r="G466" t="s">
        <v>35</v>
      </c>
      <c r="H466" s="5" t="s">
        <v>176</v>
      </c>
      <c r="I466" s="7">
        <v>-47.27</v>
      </c>
      <c r="J466" s="7">
        <v>47.27</v>
      </c>
      <c r="K466" s="7">
        <v>0</v>
      </c>
      <c r="L466" s="7">
        <v>22694.61</v>
      </c>
      <c r="M466" t="s">
        <v>678</v>
      </c>
      <c r="N466" t="s">
        <v>55</v>
      </c>
      <c r="O466">
        <v>24</v>
      </c>
      <c r="P466" s="5" t="s">
        <v>1184</v>
      </c>
    </row>
    <row r="467" spans="1:16">
      <c r="A467" s="4">
        <v>46233</v>
      </c>
      <c r="B467" t="s">
        <v>1185</v>
      </c>
      <c r="C467" s="5" t="s">
        <v>1186</v>
      </c>
      <c r="D467" t="s">
        <v>1187</v>
      </c>
      <c r="E467" t="s">
        <v>17</v>
      </c>
      <c r="F467" t="s">
        <v>29</v>
      </c>
      <c r="G467" s="8" t="s">
        <v>36</v>
      </c>
      <c r="H467" s="5"/>
      <c r="I467" s="7">
        <v>-130.29</v>
      </c>
      <c r="J467" s="7">
        <v>130.29</v>
      </c>
      <c r="K467" s="7">
        <v>0</v>
      </c>
      <c r="L467" s="7">
        <v>22564.32</v>
      </c>
      <c r="M467" t="s">
        <v>678</v>
      </c>
      <c r="N467" t="s">
        <v>55</v>
      </c>
      <c r="O467">
        <v>24</v>
      </c>
      <c r="P467" s="5" t="s">
        <v>1188</v>
      </c>
    </row>
    <row r="468" spans="1:16">
      <c r="A468" s="4">
        <v>46233</v>
      </c>
      <c r="B468" t="s">
        <v>156</v>
      </c>
      <c r="C468" s="5" t="s">
        <v>1167</v>
      </c>
      <c r="D468" t="s">
        <v>157</v>
      </c>
      <c r="E468" t="s">
        <v>3</v>
      </c>
      <c r="F468" t="s">
        <v>26</v>
      </c>
      <c r="G468" t="s">
        <v>33</v>
      </c>
      <c r="H468" s="5" t="s">
        <v>158</v>
      </c>
      <c r="I468" s="7">
        <v>-15.57</v>
      </c>
      <c r="J468" s="7">
        <v>15.57</v>
      </c>
      <c r="K468" s="7">
        <v>0</v>
      </c>
      <c r="L468" s="7">
        <v>22548.75</v>
      </c>
      <c r="M468" t="s">
        <v>678</v>
      </c>
      <c r="N468" t="s">
        <v>55</v>
      </c>
      <c r="O468">
        <v>24</v>
      </c>
      <c r="P468" s="5" t="s">
        <v>1189</v>
      </c>
    </row>
    <row r="469" spans="1:16">
      <c r="A469" s="4">
        <v>46233</v>
      </c>
      <c r="B469" t="s">
        <v>384</v>
      </c>
      <c r="C469" s="5" t="s">
        <v>1167</v>
      </c>
      <c r="D469" t="s">
        <v>385</v>
      </c>
      <c r="E469" t="s">
        <v>3</v>
      </c>
      <c r="F469" t="s">
        <v>26</v>
      </c>
      <c r="G469" t="s">
        <v>35</v>
      </c>
      <c r="H469" s="5" t="s">
        <v>93</v>
      </c>
      <c r="I469" s="7">
        <v>-27.1</v>
      </c>
      <c r="J469" s="7">
        <v>27.1</v>
      </c>
      <c r="K469" s="7">
        <v>0</v>
      </c>
      <c r="L469" s="7">
        <v>22521.65</v>
      </c>
      <c r="M469" t="s">
        <v>678</v>
      </c>
      <c r="N469" t="s">
        <v>55</v>
      </c>
      <c r="O469">
        <v>24</v>
      </c>
      <c r="P469" s="5" t="s">
        <v>1190</v>
      </c>
    </row>
    <row r="470" spans="1:16">
      <c r="A470" s="4">
        <v>46233</v>
      </c>
      <c r="B470" t="s">
        <v>160</v>
      </c>
      <c r="C470" s="5"/>
      <c r="D470" t="s">
        <v>161</v>
      </c>
      <c r="E470" t="s">
        <v>1</v>
      </c>
      <c r="F470" t="s">
        <v>25</v>
      </c>
      <c r="G470" t="s">
        <v>35</v>
      </c>
      <c r="H470" s="5" t="s">
        <v>162</v>
      </c>
      <c r="I470" s="7">
        <v>-1720</v>
      </c>
      <c r="J470" s="7">
        <v>1720</v>
      </c>
      <c r="K470" s="7">
        <v>0</v>
      </c>
      <c r="L470" s="7">
        <v>20801.65</v>
      </c>
      <c r="M470" t="s">
        <v>678</v>
      </c>
      <c r="N470" t="s">
        <v>55</v>
      </c>
      <c r="O470">
        <v>24</v>
      </c>
      <c r="P470" s="5" t="s">
        <v>1191</v>
      </c>
    </row>
    <row r="471" spans="1:16">
      <c r="A471" s="4">
        <v>46233</v>
      </c>
      <c r="B471" t="s">
        <v>943</v>
      </c>
      <c r="C471" s="5"/>
      <c r="D471" t="s">
        <v>944</v>
      </c>
      <c r="E471" t="s">
        <v>3</v>
      </c>
      <c r="F471" t="s">
        <v>26</v>
      </c>
      <c r="G471" t="s">
        <v>33</v>
      </c>
      <c r="H471" s="5" t="s">
        <v>945</v>
      </c>
      <c r="I471" s="7">
        <v>-5.58</v>
      </c>
      <c r="J471" s="7">
        <v>5.58</v>
      </c>
      <c r="K471" s="7">
        <v>0</v>
      </c>
      <c r="L471" s="7">
        <v>20796.07</v>
      </c>
      <c r="M471" t="s">
        <v>678</v>
      </c>
      <c r="N471" t="s">
        <v>55</v>
      </c>
      <c r="O471">
        <v>24</v>
      </c>
      <c r="P471" s="5" t="s">
        <v>1192</v>
      </c>
    </row>
    <row r="472" spans="1:16">
      <c r="A472" s="4">
        <v>46233</v>
      </c>
      <c r="B472" t="s">
        <v>639</v>
      </c>
      <c r="C472" s="5" t="s">
        <v>1193</v>
      </c>
      <c r="D472" t="s">
        <v>639</v>
      </c>
      <c r="E472" t="s">
        <v>20</v>
      </c>
      <c r="F472" t="s">
        <v>31</v>
      </c>
      <c r="G472" t="s">
        <v>37</v>
      </c>
      <c r="H472" s="5"/>
      <c r="I472" s="7">
        <v>9455.02</v>
      </c>
      <c r="J472" s="7">
        <v>0</v>
      </c>
      <c r="K472" s="7">
        <v>9455.02</v>
      </c>
      <c r="L472" s="7">
        <v>30251.09</v>
      </c>
      <c r="M472" t="s">
        <v>678</v>
      </c>
      <c r="N472" t="s">
        <v>55</v>
      </c>
      <c r="O472">
        <v>24</v>
      </c>
      <c r="P472" s="5" t="s">
        <v>1194</v>
      </c>
    </row>
    <row r="473" spans="1:16">
      <c r="A473" s="4">
        <v>46234</v>
      </c>
      <c r="B473" t="s">
        <v>1195</v>
      </c>
      <c r="C473" s="5" t="s">
        <v>1196</v>
      </c>
      <c r="D473" t="s">
        <v>1197</v>
      </c>
      <c r="E473" t="s">
        <v>3</v>
      </c>
      <c r="F473" t="s">
        <v>26</v>
      </c>
      <c r="G473" t="s">
        <v>35</v>
      </c>
      <c r="H473" s="5" t="s">
        <v>299</v>
      </c>
      <c r="I473" s="7">
        <v>-7.5</v>
      </c>
      <c r="J473" s="7">
        <v>7.5</v>
      </c>
      <c r="K473" s="7">
        <v>0</v>
      </c>
      <c r="L473" s="7">
        <v>30243.59</v>
      </c>
      <c r="M473" t="s">
        <v>678</v>
      </c>
      <c r="N473" t="s">
        <v>55</v>
      </c>
      <c r="O473">
        <v>24</v>
      </c>
      <c r="P473" s="5" t="s">
        <v>1198</v>
      </c>
    </row>
    <row r="474" spans="1:16">
      <c r="A474" s="4">
        <v>46234</v>
      </c>
      <c r="B474" t="s">
        <v>280</v>
      </c>
      <c r="C474" s="5" t="s">
        <v>1183</v>
      </c>
      <c r="D474" t="s">
        <v>282</v>
      </c>
      <c r="E474" t="s">
        <v>8</v>
      </c>
      <c r="F474" t="s">
        <v>26</v>
      </c>
      <c r="G474" t="s">
        <v>35</v>
      </c>
      <c r="H474" s="5" t="s">
        <v>176</v>
      </c>
      <c r="I474" s="7">
        <v>-9.99</v>
      </c>
      <c r="J474" s="7">
        <v>9.99</v>
      </c>
      <c r="K474" s="7">
        <v>0</v>
      </c>
      <c r="L474" s="7">
        <v>30233.6</v>
      </c>
      <c r="M474" t="s">
        <v>678</v>
      </c>
      <c r="N474" t="s">
        <v>55</v>
      </c>
      <c r="O474">
        <v>25</v>
      </c>
      <c r="P474" s="5" t="s">
        <v>1199</v>
      </c>
    </row>
    <row r="475" spans="1:16">
      <c r="A475" s="4">
        <v>46234</v>
      </c>
      <c r="B475" t="s">
        <v>966</v>
      </c>
      <c r="C475" s="5" t="s">
        <v>1200</v>
      </c>
      <c r="D475" t="s">
        <v>100</v>
      </c>
      <c r="E475" t="s">
        <v>5</v>
      </c>
      <c r="F475" t="s">
        <v>25</v>
      </c>
      <c r="G475" t="s">
        <v>33</v>
      </c>
      <c r="H475" s="5" t="s">
        <v>968</v>
      </c>
      <c r="I475" s="7">
        <v>-4.49</v>
      </c>
      <c r="J475" s="7">
        <v>4.49</v>
      </c>
      <c r="K475" s="7">
        <v>0</v>
      </c>
      <c r="L475" s="7">
        <v>30229.11</v>
      </c>
      <c r="M475" t="s">
        <v>678</v>
      </c>
      <c r="N475" t="s">
        <v>55</v>
      </c>
      <c r="O475">
        <v>25</v>
      </c>
      <c r="P475" s="5" t="s">
        <v>1201</v>
      </c>
    </row>
    <row r="476" spans="1:16">
      <c r="A476" s="4">
        <v>46234</v>
      </c>
      <c r="B476" t="s">
        <v>389</v>
      </c>
      <c r="C476" s="5" t="s">
        <v>1200</v>
      </c>
      <c r="D476" t="s">
        <v>390</v>
      </c>
      <c r="E476" t="s">
        <v>17</v>
      </c>
      <c r="F476" t="s">
        <v>29</v>
      </c>
      <c r="G476" s="8" t="s">
        <v>36</v>
      </c>
      <c r="H476" s="5"/>
      <c r="I476" s="7">
        <v>-12.13</v>
      </c>
      <c r="J476" s="7">
        <v>12.13</v>
      </c>
      <c r="K476" s="7">
        <v>0</v>
      </c>
      <c r="L476" s="7">
        <v>30216.98</v>
      </c>
      <c r="M476" t="s">
        <v>678</v>
      </c>
      <c r="N476" t="s">
        <v>55</v>
      </c>
      <c r="O476">
        <v>25</v>
      </c>
      <c r="P476" s="5" t="s">
        <v>1202</v>
      </c>
    </row>
    <row r="477" spans="1:16">
      <c r="A477" s="4">
        <v>46234</v>
      </c>
      <c r="B477" t="s">
        <v>258</v>
      </c>
      <c r="C477" s="5" t="s">
        <v>1200</v>
      </c>
      <c r="D477" t="s">
        <v>259</v>
      </c>
      <c r="E477" t="s">
        <v>2</v>
      </c>
      <c r="F477" t="s">
        <v>25</v>
      </c>
      <c r="G477" t="s">
        <v>35</v>
      </c>
      <c r="H477" s="5" t="s">
        <v>260</v>
      </c>
      <c r="I477" s="7">
        <v>-12.55</v>
      </c>
      <c r="J477" s="7">
        <v>12.55</v>
      </c>
      <c r="K477" s="7">
        <v>0</v>
      </c>
      <c r="L477" s="7">
        <v>30204.43</v>
      </c>
      <c r="M477" t="s">
        <v>678</v>
      </c>
      <c r="N477" t="s">
        <v>55</v>
      </c>
      <c r="O477">
        <v>25</v>
      </c>
      <c r="P477" s="5" t="s">
        <v>1203</v>
      </c>
    </row>
    <row r="478" spans="1:16">
      <c r="A478" s="4">
        <v>46234</v>
      </c>
      <c r="B478" t="s">
        <v>1204</v>
      </c>
      <c r="C478" s="5" t="s">
        <v>1200</v>
      </c>
      <c r="D478" t="s">
        <v>1205</v>
      </c>
      <c r="E478" t="s">
        <v>17</v>
      </c>
      <c r="F478" t="s">
        <v>29</v>
      </c>
      <c r="G478" s="8" t="s">
        <v>36</v>
      </c>
      <c r="H478" s="5"/>
      <c r="I478" s="7">
        <v>-10.15</v>
      </c>
      <c r="J478" s="7">
        <v>10.15</v>
      </c>
      <c r="K478" s="7">
        <v>0</v>
      </c>
      <c r="L478" s="7">
        <v>30194.28</v>
      </c>
      <c r="M478" t="s">
        <v>678</v>
      </c>
      <c r="N478" t="s">
        <v>55</v>
      </c>
      <c r="O478">
        <v>25</v>
      </c>
      <c r="P478" s="5" t="s">
        <v>1206</v>
      </c>
    </row>
    <row r="479" spans="1:16">
      <c r="A479" s="4">
        <v>46234</v>
      </c>
      <c r="B479" t="s">
        <v>943</v>
      </c>
      <c r="C479" s="5"/>
      <c r="D479" t="s">
        <v>944</v>
      </c>
      <c r="E479" t="s">
        <v>3</v>
      </c>
      <c r="F479" t="s">
        <v>26</v>
      </c>
      <c r="G479" t="s">
        <v>33</v>
      </c>
      <c r="H479" s="5" t="s">
        <v>945</v>
      </c>
      <c r="I479" s="7">
        <v>-5.58</v>
      </c>
      <c r="J479" s="7">
        <v>5.58</v>
      </c>
      <c r="K479" s="7">
        <v>0</v>
      </c>
      <c r="L479" s="7">
        <v>30188.7</v>
      </c>
      <c r="M479" t="s">
        <v>678</v>
      </c>
      <c r="N479" t="s">
        <v>55</v>
      </c>
      <c r="O479">
        <v>25</v>
      </c>
      <c r="P479" s="5" t="s">
        <v>1207</v>
      </c>
    </row>
    <row r="480" spans="1:16">
      <c r="A480" s="4">
        <v>46234</v>
      </c>
      <c r="B480" t="s">
        <v>742</v>
      </c>
      <c r="C480" s="5"/>
      <c r="D480" t="s">
        <v>742</v>
      </c>
      <c r="E480" t="s">
        <v>17</v>
      </c>
      <c r="F480" t="s">
        <v>29</v>
      </c>
      <c r="G480" s="8" t="s">
        <v>36</v>
      </c>
      <c r="H480" s="5"/>
      <c r="I480" s="7">
        <v>-2.2</v>
      </c>
      <c r="J480" s="7">
        <v>2.2</v>
      </c>
      <c r="K480" s="7">
        <v>0</v>
      </c>
      <c r="L480" s="7">
        <v>30186.5</v>
      </c>
      <c r="M480" t="s">
        <v>678</v>
      </c>
      <c r="N480" t="s">
        <v>55</v>
      </c>
      <c r="O480">
        <v>25</v>
      </c>
      <c r="P480" s="5" t="s">
        <v>1208</v>
      </c>
    </row>
    <row r="481" spans="1:16">
      <c r="A481" s="4">
        <v>46235</v>
      </c>
      <c r="B481" t="s">
        <v>1209</v>
      </c>
      <c r="C481" s="5" t="s">
        <v>1210</v>
      </c>
      <c r="D481" t="s">
        <v>1211</v>
      </c>
      <c r="E481" t="s">
        <v>9</v>
      </c>
      <c r="F481" t="s">
        <v>26</v>
      </c>
      <c r="G481" t="s">
        <v>33</v>
      </c>
      <c r="H481" s="5" t="s">
        <v>1212</v>
      </c>
      <c r="I481" s="7">
        <v>-50</v>
      </c>
      <c r="J481" s="7">
        <v>50</v>
      </c>
      <c r="K481" s="7">
        <v>0</v>
      </c>
      <c r="L481" s="7">
        <v>30136.5</v>
      </c>
      <c r="M481" t="s">
        <v>1213</v>
      </c>
      <c r="N481" t="s">
        <v>55</v>
      </c>
      <c r="O481">
        <v>25</v>
      </c>
      <c r="P481" s="5" t="s">
        <v>1214</v>
      </c>
    </row>
    <row r="482" spans="1:16">
      <c r="A482" s="4">
        <v>46235</v>
      </c>
      <c r="B482" t="s">
        <v>156</v>
      </c>
      <c r="C482" s="5" t="s">
        <v>1210</v>
      </c>
      <c r="D482" t="s">
        <v>157</v>
      </c>
      <c r="E482" t="s">
        <v>3</v>
      </c>
      <c r="F482" t="s">
        <v>26</v>
      </c>
      <c r="G482" t="s">
        <v>33</v>
      </c>
      <c r="H482" s="5" t="s">
        <v>158</v>
      </c>
      <c r="I482" s="7">
        <v>-15.57</v>
      </c>
      <c r="J482" s="7">
        <v>15.57</v>
      </c>
      <c r="K482" s="7">
        <v>0</v>
      </c>
      <c r="L482" s="7">
        <v>30120.93</v>
      </c>
      <c r="M482" t="s">
        <v>1213</v>
      </c>
      <c r="N482" t="s">
        <v>55</v>
      </c>
      <c r="O482">
        <v>25</v>
      </c>
      <c r="P482" s="5" t="s">
        <v>1215</v>
      </c>
    </row>
    <row r="483" spans="1:16">
      <c r="A483" s="4">
        <v>46235</v>
      </c>
      <c r="B483" t="s">
        <v>149</v>
      </c>
      <c r="C483" s="5" t="s">
        <v>1200</v>
      </c>
      <c r="D483" t="s">
        <v>150</v>
      </c>
      <c r="E483" t="s">
        <v>3</v>
      </c>
      <c r="F483" t="s">
        <v>26</v>
      </c>
      <c r="G483" s="6" t="s">
        <v>34</v>
      </c>
      <c r="H483" s="5" t="s">
        <v>151</v>
      </c>
      <c r="I483" s="7">
        <v>-6.07</v>
      </c>
      <c r="J483" s="7">
        <v>6.07</v>
      </c>
      <c r="K483" s="7">
        <v>0</v>
      </c>
      <c r="L483" s="7">
        <v>30114.86</v>
      </c>
      <c r="M483" t="s">
        <v>1213</v>
      </c>
      <c r="N483" t="s">
        <v>55</v>
      </c>
      <c r="O483">
        <v>25</v>
      </c>
      <c r="P483" s="5" t="s">
        <v>1216</v>
      </c>
    </row>
    <row r="484" spans="1:16">
      <c r="A484" s="4">
        <v>46235</v>
      </c>
      <c r="B484" t="s">
        <v>966</v>
      </c>
      <c r="C484" s="5" t="s">
        <v>1210</v>
      </c>
      <c r="D484" t="s">
        <v>100</v>
      </c>
      <c r="E484" t="s">
        <v>5</v>
      </c>
      <c r="F484" t="s">
        <v>25</v>
      </c>
      <c r="G484" t="s">
        <v>33</v>
      </c>
      <c r="H484" s="5" t="s">
        <v>968</v>
      </c>
      <c r="I484" s="7">
        <v>-5.77</v>
      </c>
      <c r="J484" s="7">
        <v>5.77</v>
      </c>
      <c r="K484" s="7">
        <v>0</v>
      </c>
      <c r="L484" s="7">
        <v>30109.09</v>
      </c>
      <c r="M484" t="s">
        <v>1213</v>
      </c>
      <c r="N484" t="s">
        <v>55</v>
      </c>
      <c r="O484">
        <v>25</v>
      </c>
      <c r="P484" s="5" t="s">
        <v>1217</v>
      </c>
    </row>
    <row r="485" spans="1:16">
      <c r="A485" s="4">
        <v>46235</v>
      </c>
      <c r="B485" t="s">
        <v>1218</v>
      </c>
      <c r="C485" s="5"/>
      <c r="D485" t="s">
        <v>1219</v>
      </c>
      <c r="E485" t="s">
        <v>3</v>
      </c>
      <c r="F485" t="s">
        <v>26</v>
      </c>
      <c r="G485" t="s">
        <v>35</v>
      </c>
      <c r="H485" s="5" t="s">
        <v>1220</v>
      </c>
      <c r="I485" s="7">
        <v>-18.5</v>
      </c>
      <c r="J485" s="7">
        <v>18.5</v>
      </c>
      <c r="K485" s="7">
        <v>0</v>
      </c>
      <c r="L485" s="7">
        <v>30090.59</v>
      </c>
      <c r="M485" t="s">
        <v>1213</v>
      </c>
      <c r="N485" t="s">
        <v>55</v>
      </c>
      <c r="O485">
        <v>25</v>
      </c>
      <c r="P485" s="5" t="s">
        <v>1221</v>
      </c>
    </row>
    <row r="486" spans="1:16">
      <c r="A486" s="4">
        <v>46235</v>
      </c>
      <c r="B486" t="s">
        <v>1218</v>
      </c>
      <c r="C486" s="5"/>
      <c r="D486" t="s">
        <v>1219</v>
      </c>
      <c r="E486" t="s">
        <v>3</v>
      </c>
      <c r="F486" t="s">
        <v>26</v>
      </c>
      <c r="G486" t="s">
        <v>35</v>
      </c>
      <c r="H486" s="5" t="s">
        <v>1220</v>
      </c>
      <c r="I486" s="7">
        <v>-8.119999999999999</v>
      </c>
      <c r="J486" s="7">
        <v>8.119999999999999</v>
      </c>
      <c r="K486" s="7">
        <v>0</v>
      </c>
      <c r="L486" s="7">
        <v>30082.47</v>
      </c>
      <c r="M486" t="s">
        <v>1213</v>
      </c>
      <c r="N486" t="s">
        <v>55</v>
      </c>
      <c r="O486">
        <v>25</v>
      </c>
      <c r="P486" s="5" t="s">
        <v>1222</v>
      </c>
    </row>
    <row r="487" spans="1:16">
      <c r="A487" s="4">
        <v>46235</v>
      </c>
      <c r="B487" t="s">
        <v>1223</v>
      </c>
      <c r="C487" s="5"/>
      <c r="D487" t="s">
        <v>1224</v>
      </c>
      <c r="E487" t="s">
        <v>3</v>
      </c>
      <c r="F487" t="s">
        <v>26</v>
      </c>
      <c r="G487" t="s">
        <v>35</v>
      </c>
      <c r="H487" s="5" t="s">
        <v>1225</v>
      </c>
      <c r="I487" s="7">
        <v>-22.67</v>
      </c>
      <c r="J487" s="7">
        <v>22.67</v>
      </c>
      <c r="K487" s="7">
        <v>0</v>
      </c>
      <c r="L487" s="7">
        <v>30059.8</v>
      </c>
      <c r="M487" t="s">
        <v>1213</v>
      </c>
      <c r="N487" t="s">
        <v>55</v>
      </c>
      <c r="O487">
        <v>25</v>
      </c>
      <c r="P487" s="5" t="s">
        <v>1226</v>
      </c>
    </row>
    <row r="488" spans="1:16">
      <c r="A488" s="4">
        <v>46236</v>
      </c>
      <c r="B488" t="s">
        <v>205</v>
      </c>
      <c r="C488" s="5"/>
      <c r="D488" t="s">
        <v>206</v>
      </c>
      <c r="E488" t="s">
        <v>3</v>
      </c>
      <c r="F488" t="s">
        <v>26</v>
      </c>
      <c r="G488" t="s">
        <v>35</v>
      </c>
      <c r="H488" s="5" t="s">
        <v>207</v>
      </c>
      <c r="I488" s="7">
        <v>-35.03</v>
      </c>
      <c r="J488" s="7">
        <v>35.03</v>
      </c>
      <c r="K488" s="7">
        <v>0</v>
      </c>
      <c r="L488" s="7">
        <v>30024.77</v>
      </c>
      <c r="M488" t="s">
        <v>1213</v>
      </c>
      <c r="N488" t="s">
        <v>55</v>
      </c>
      <c r="O488">
        <v>25</v>
      </c>
      <c r="P488" s="5" t="s">
        <v>1227</v>
      </c>
    </row>
    <row r="489" spans="1:16">
      <c r="A489" s="4">
        <v>46236</v>
      </c>
      <c r="B489" t="s">
        <v>205</v>
      </c>
      <c r="C489" s="5"/>
      <c r="D489" t="s">
        <v>206</v>
      </c>
      <c r="E489" t="s">
        <v>3</v>
      </c>
      <c r="F489" t="s">
        <v>26</v>
      </c>
      <c r="G489" t="s">
        <v>35</v>
      </c>
      <c r="H489" s="5" t="s">
        <v>207</v>
      </c>
      <c r="I489" s="7">
        <v>-9.640000000000001</v>
      </c>
      <c r="J489" s="7">
        <v>9.640000000000001</v>
      </c>
      <c r="K489" s="7">
        <v>0</v>
      </c>
      <c r="L489" s="7">
        <v>30015.13</v>
      </c>
      <c r="M489" t="s">
        <v>1213</v>
      </c>
      <c r="N489" t="s">
        <v>55</v>
      </c>
      <c r="O489">
        <v>25</v>
      </c>
      <c r="P489" s="5" t="s">
        <v>1228</v>
      </c>
    </row>
    <row r="490" spans="1:16">
      <c r="A490" s="4">
        <v>46236</v>
      </c>
      <c r="B490" t="s">
        <v>219</v>
      </c>
      <c r="C490" s="5" t="s">
        <v>1229</v>
      </c>
      <c r="D490" t="s">
        <v>219</v>
      </c>
      <c r="E490" t="s">
        <v>18</v>
      </c>
      <c r="F490" t="s">
        <v>30</v>
      </c>
      <c r="G490" t="s">
        <v>37</v>
      </c>
      <c r="H490" s="5"/>
      <c r="I490" s="7">
        <v>-6</v>
      </c>
      <c r="J490" s="7">
        <v>6</v>
      </c>
      <c r="K490" s="7">
        <v>0</v>
      </c>
      <c r="L490" s="7">
        <v>30009.13</v>
      </c>
      <c r="M490" t="s">
        <v>1213</v>
      </c>
      <c r="N490" t="s">
        <v>55</v>
      </c>
      <c r="O490">
        <v>25</v>
      </c>
      <c r="P490" s="5" t="s">
        <v>1230</v>
      </c>
    </row>
    <row r="491" spans="1:16">
      <c r="A491" s="4">
        <v>46236</v>
      </c>
      <c r="B491" t="s">
        <v>354</v>
      </c>
      <c r="C491" s="5"/>
      <c r="D491" t="s">
        <v>355</v>
      </c>
      <c r="E491" t="s">
        <v>2</v>
      </c>
      <c r="F491" t="s">
        <v>25</v>
      </c>
      <c r="G491" t="s">
        <v>35</v>
      </c>
      <c r="H491" s="5" t="s">
        <v>356</v>
      </c>
      <c r="I491" s="7">
        <v>-4.49</v>
      </c>
      <c r="J491" s="7">
        <v>4.49</v>
      </c>
      <c r="K491" s="7">
        <v>0</v>
      </c>
      <c r="L491" s="7">
        <v>30004.64</v>
      </c>
      <c r="M491" t="s">
        <v>1213</v>
      </c>
      <c r="N491" t="s">
        <v>55</v>
      </c>
      <c r="O491">
        <v>25</v>
      </c>
      <c r="P491" s="5" t="s">
        <v>1231</v>
      </c>
    </row>
    <row r="492" spans="1:16">
      <c r="A492" s="4">
        <v>46237</v>
      </c>
      <c r="B492" t="s">
        <v>943</v>
      </c>
      <c r="C492" s="5"/>
      <c r="D492" t="s">
        <v>944</v>
      </c>
      <c r="E492" t="s">
        <v>3</v>
      </c>
      <c r="F492" t="s">
        <v>26</v>
      </c>
      <c r="G492" t="s">
        <v>33</v>
      </c>
      <c r="H492" s="5" t="s">
        <v>945</v>
      </c>
      <c r="I492" s="7">
        <v>-5.58</v>
      </c>
      <c r="J492" s="7">
        <v>5.58</v>
      </c>
      <c r="K492" s="7">
        <v>0</v>
      </c>
      <c r="L492" s="7">
        <v>29999.06</v>
      </c>
      <c r="M492" t="s">
        <v>1213</v>
      </c>
      <c r="N492" t="s">
        <v>55</v>
      </c>
      <c r="O492">
        <v>25</v>
      </c>
      <c r="P492" s="5" t="s">
        <v>1232</v>
      </c>
    </row>
    <row r="493" spans="1:16">
      <c r="A493" s="4">
        <v>46237</v>
      </c>
      <c r="B493" t="s">
        <v>133</v>
      </c>
      <c r="C493" s="5"/>
      <c r="D493" t="s">
        <v>83</v>
      </c>
      <c r="E493" t="s">
        <v>2</v>
      </c>
      <c r="F493" t="s">
        <v>25</v>
      </c>
      <c r="G493" t="s">
        <v>35</v>
      </c>
      <c r="H493" s="5" t="s">
        <v>84</v>
      </c>
      <c r="I493" s="7">
        <v>-23.01</v>
      </c>
      <c r="J493" s="7">
        <v>23.01</v>
      </c>
      <c r="K493" s="7">
        <v>0</v>
      </c>
      <c r="L493" s="7">
        <v>29976.05</v>
      </c>
      <c r="M493" t="s">
        <v>1213</v>
      </c>
      <c r="N493" t="s">
        <v>55</v>
      </c>
      <c r="O493">
        <v>25</v>
      </c>
      <c r="P493" s="5" t="s">
        <v>1233</v>
      </c>
    </row>
    <row r="494" spans="1:16">
      <c r="A494" s="4">
        <v>46237</v>
      </c>
      <c r="B494" t="s">
        <v>60</v>
      </c>
      <c r="C494" s="5" t="s">
        <v>61</v>
      </c>
      <c r="D494" t="s">
        <v>60</v>
      </c>
      <c r="E494" t="s">
        <v>7</v>
      </c>
      <c r="F494" t="s">
        <v>25</v>
      </c>
      <c r="G494" t="s">
        <v>35</v>
      </c>
      <c r="H494" s="5" t="s">
        <v>62</v>
      </c>
      <c r="I494" s="7">
        <v>-139.08</v>
      </c>
      <c r="J494" s="7">
        <v>139.08</v>
      </c>
      <c r="K494" s="7">
        <v>0</v>
      </c>
      <c r="L494" s="7">
        <v>29836.97</v>
      </c>
      <c r="M494" t="s">
        <v>1213</v>
      </c>
      <c r="N494" t="s">
        <v>55</v>
      </c>
      <c r="O494">
        <v>25</v>
      </c>
      <c r="P494" s="5" t="s">
        <v>1234</v>
      </c>
    </row>
    <row r="495" spans="1:16">
      <c r="A495" s="4">
        <v>46238</v>
      </c>
      <c r="B495" t="s">
        <v>280</v>
      </c>
      <c r="C495" s="5" t="s">
        <v>1235</v>
      </c>
      <c r="D495" t="s">
        <v>282</v>
      </c>
      <c r="E495" t="s">
        <v>8</v>
      </c>
      <c r="F495" t="s">
        <v>26</v>
      </c>
      <c r="G495" t="s">
        <v>35</v>
      </c>
      <c r="H495" s="5" t="s">
        <v>176</v>
      </c>
      <c r="I495" s="7">
        <v>-57.76</v>
      </c>
      <c r="J495" s="7">
        <v>57.76</v>
      </c>
      <c r="K495" s="7">
        <v>0</v>
      </c>
      <c r="L495" s="7">
        <v>29779.21</v>
      </c>
      <c r="M495" t="s">
        <v>1213</v>
      </c>
      <c r="N495" t="s">
        <v>55</v>
      </c>
      <c r="O495">
        <v>26</v>
      </c>
      <c r="P495" s="5" t="s">
        <v>1236</v>
      </c>
    </row>
    <row r="496" spans="1:16">
      <c r="A496" s="4">
        <v>46238</v>
      </c>
      <c r="B496" t="s">
        <v>1237</v>
      </c>
      <c r="C496" s="5" t="s">
        <v>1235</v>
      </c>
      <c r="D496" t="s">
        <v>1238</v>
      </c>
      <c r="E496" t="s">
        <v>17</v>
      </c>
      <c r="F496" t="s">
        <v>29</v>
      </c>
      <c r="G496" s="8" t="s">
        <v>36</v>
      </c>
      <c r="H496" s="5"/>
      <c r="I496" s="7">
        <v>-133.2</v>
      </c>
      <c r="J496" s="7">
        <v>133.2</v>
      </c>
      <c r="K496" s="7">
        <v>0</v>
      </c>
      <c r="L496" s="7">
        <v>29646.01</v>
      </c>
      <c r="M496" t="s">
        <v>1213</v>
      </c>
      <c r="N496" t="s">
        <v>55</v>
      </c>
      <c r="O496">
        <v>26</v>
      </c>
      <c r="P496" s="5" t="s">
        <v>1239</v>
      </c>
    </row>
    <row r="497" spans="1:16">
      <c r="A497" s="4">
        <v>46238</v>
      </c>
      <c r="B497" t="s">
        <v>280</v>
      </c>
      <c r="C497" s="5" t="s">
        <v>1240</v>
      </c>
      <c r="D497" t="s">
        <v>282</v>
      </c>
      <c r="E497" t="s">
        <v>8</v>
      </c>
      <c r="F497" t="s">
        <v>26</v>
      </c>
      <c r="G497" t="s">
        <v>35</v>
      </c>
      <c r="H497" s="5" t="s">
        <v>176</v>
      </c>
      <c r="I497" s="7">
        <v>-14.29</v>
      </c>
      <c r="J497" s="7">
        <v>14.29</v>
      </c>
      <c r="K497" s="7">
        <v>0</v>
      </c>
      <c r="L497" s="7">
        <v>29631.72</v>
      </c>
      <c r="M497" t="s">
        <v>1213</v>
      </c>
      <c r="N497" t="s">
        <v>55</v>
      </c>
      <c r="O497">
        <v>26</v>
      </c>
      <c r="P497" s="5" t="s">
        <v>1241</v>
      </c>
    </row>
    <row r="498" spans="1:16">
      <c r="A498" s="4">
        <v>46238</v>
      </c>
      <c r="B498" t="s">
        <v>1242</v>
      </c>
      <c r="C498" s="5" t="s">
        <v>1240</v>
      </c>
      <c r="D498" t="s">
        <v>1243</v>
      </c>
      <c r="E498" t="s">
        <v>8</v>
      </c>
      <c r="F498" t="s">
        <v>26</v>
      </c>
      <c r="G498" t="s">
        <v>33</v>
      </c>
      <c r="H498" s="5" t="s">
        <v>1244</v>
      </c>
      <c r="I498" s="7">
        <v>-43.94</v>
      </c>
      <c r="J498" s="7">
        <v>43.94</v>
      </c>
      <c r="K498" s="7">
        <v>0</v>
      </c>
      <c r="L498" s="7">
        <v>29587.78</v>
      </c>
      <c r="M498" t="s">
        <v>1213</v>
      </c>
      <c r="N498" t="s">
        <v>55</v>
      </c>
      <c r="O498">
        <v>26</v>
      </c>
      <c r="P498" s="5" t="s">
        <v>1245</v>
      </c>
    </row>
    <row r="499" spans="1:16">
      <c r="A499" s="4">
        <v>46238</v>
      </c>
      <c r="B499" t="s">
        <v>1145</v>
      </c>
      <c r="C499" s="5" t="s">
        <v>1246</v>
      </c>
      <c r="D499" t="s">
        <v>1146</v>
      </c>
      <c r="E499" t="s">
        <v>2</v>
      </c>
      <c r="F499" t="s">
        <v>25</v>
      </c>
      <c r="G499" s="6" t="s">
        <v>34</v>
      </c>
      <c r="H499" s="5" t="s">
        <v>1147</v>
      </c>
      <c r="I499" s="7">
        <v>-7.97</v>
      </c>
      <c r="J499" s="7">
        <v>7.97</v>
      </c>
      <c r="K499" s="7">
        <v>0</v>
      </c>
      <c r="L499" s="7">
        <v>29579.81</v>
      </c>
      <c r="M499" t="s">
        <v>1213</v>
      </c>
      <c r="N499" t="s">
        <v>55</v>
      </c>
      <c r="O499">
        <v>26</v>
      </c>
      <c r="P499" s="5" t="s">
        <v>1247</v>
      </c>
    </row>
    <row r="500" spans="1:16">
      <c r="A500" s="4">
        <v>46238</v>
      </c>
      <c r="B500" t="s">
        <v>1248</v>
      </c>
      <c r="C500" s="5" t="s">
        <v>1249</v>
      </c>
      <c r="D500" t="s">
        <v>1250</v>
      </c>
      <c r="E500" t="s">
        <v>17</v>
      </c>
      <c r="F500" t="s">
        <v>29</v>
      </c>
      <c r="G500" s="8" t="s">
        <v>36</v>
      </c>
      <c r="H500" s="5"/>
      <c r="I500" s="7">
        <v>-5.47</v>
      </c>
      <c r="J500" s="7">
        <v>5.47</v>
      </c>
      <c r="K500" s="7">
        <v>0</v>
      </c>
      <c r="L500" s="7">
        <v>29574.34</v>
      </c>
      <c r="M500" t="s">
        <v>1213</v>
      </c>
      <c r="N500" t="s">
        <v>55</v>
      </c>
      <c r="O500">
        <v>26</v>
      </c>
      <c r="P500" s="5" t="s">
        <v>1251</v>
      </c>
    </row>
    <row r="501" spans="1:16">
      <c r="A501" s="4">
        <v>46238</v>
      </c>
      <c r="B501" t="s">
        <v>81</v>
      </c>
      <c r="C501" s="5" t="s">
        <v>1249</v>
      </c>
      <c r="D501" t="s">
        <v>83</v>
      </c>
      <c r="E501" t="s">
        <v>2</v>
      </c>
      <c r="F501" t="s">
        <v>25</v>
      </c>
      <c r="G501" t="s">
        <v>35</v>
      </c>
      <c r="H501" s="5" t="s">
        <v>84</v>
      </c>
      <c r="I501" s="7">
        <v>-90.67</v>
      </c>
      <c r="J501" s="7">
        <v>90.67</v>
      </c>
      <c r="K501" s="7">
        <v>0</v>
      </c>
      <c r="L501" s="7">
        <v>29483.67</v>
      </c>
      <c r="M501" t="s">
        <v>1213</v>
      </c>
      <c r="N501" t="s">
        <v>55</v>
      </c>
      <c r="O501">
        <v>26</v>
      </c>
      <c r="P501" s="5" t="s">
        <v>1252</v>
      </c>
    </row>
    <row r="502" spans="1:16">
      <c r="A502" s="4">
        <v>46238</v>
      </c>
      <c r="B502" t="s">
        <v>1253</v>
      </c>
      <c r="C502" s="5" t="s">
        <v>1246</v>
      </c>
      <c r="D502" t="s">
        <v>1254</v>
      </c>
      <c r="E502" t="s">
        <v>5</v>
      </c>
      <c r="F502" t="s">
        <v>25</v>
      </c>
      <c r="G502" t="s">
        <v>33</v>
      </c>
      <c r="H502" s="5" t="s">
        <v>1255</v>
      </c>
      <c r="I502" s="7">
        <v>-40</v>
      </c>
      <c r="J502" s="7">
        <v>40</v>
      </c>
      <c r="K502" s="7">
        <v>0</v>
      </c>
      <c r="L502" s="7">
        <v>29443.67</v>
      </c>
      <c r="M502" t="s">
        <v>1213</v>
      </c>
      <c r="N502" t="s">
        <v>55</v>
      </c>
      <c r="O502">
        <v>26</v>
      </c>
      <c r="P502" s="5" t="s">
        <v>1256</v>
      </c>
    </row>
    <row r="503" spans="1:16">
      <c r="A503" s="4">
        <v>46238</v>
      </c>
      <c r="B503" t="s">
        <v>1253</v>
      </c>
      <c r="C503" s="5" t="s">
        <v>1246</v>
      </c>
      <c r="D503" t="s">
        <v>1254</v>
      </c>
      <c r="E503" t="s">
        <v>5</v>
      </c>
      <c r="F503" t="s">
        <v>25</v>
      </c>
      <c r="G503" t="s">
        <v>33</v>
      </c>
      <c r="H503" s="5" t="s">
        <v>1255</v>
      </c>
      <c r="I503" s="7">
        <v>-40</v>
      </c>
      <c r="J503" s="7">
        <v>40</v>
      </c>
      <c r="K503" s="7">
        <v>0</v>
      </c>
      <c r="L503" s="7">
        <v>29403.67</v>
      </c>
      <c r="M503" t="s">
        <v>1213</v>
      </c>
      <c r="N503" t="s">
        <v>55</v>
      </c>
      <c r="O503">
        <v>26</v>
      </c>
      <c r="P503" s="5" t="s">
        <v>1257</v>
      </c>
    </row>
    <row r="504" spans="1:16">
      <c r="A504" s="4">
        <v>46238</v>
      </c>
      <c r="B504" t="s">
        <v>109</v>
      </c>
      <c r="C504" s="5" t="s">
        <v>1258</v>
      </c>
      <c r="D504" t="s">
        <v>111</v>
      </c>
      <c r="E504" t="s">
        <v>3</v>
      </c>
      <c r="F504" t="s">
        <v>26</v>
      </c>
      <c r="G504" t="s">
        <v>35</v>
      </c>
      <c r="H504" s="5" t="s">
        <v>112</v>
      </c>
      <c r="I504" s="7">
        <v>-28.8</v>
      </c>
      <c r="J504" s="7">
        <v>28.8</v>
      </c>
      <c r="K504" s="7">
        <v>0</v>
      </c>
      <c r="L504" s="7">
        <v>29374.87</v>
      </c>
      <c r="M504" t="s">
        <v>1213</v>
      </c>
      <c r="N504" t="s">
        <v>55</v>
      </c>
      <c r="O504">
        <v>26</v>
      </c>
      <c r="P504" s="5" t="s">
        <v>1259</v>
      </c>
    </row>
    <row r="505" spans="1:16">
      <c r="A505" s="4">
        <v>46238</v>
      </c>
      <c r="B505" t="s">
        <v>1260</v>
      </c>
      <c r="C505" s="5" t="s">
        <v>1258</v>
      </c>
      <c r="D505" t="s">
        <v>1261</v>
      </c>
      <c r="E505" t="s">
        <v>3</v>
      </c>
      <c r="F505" t="s">
        <v>26</v>
      </c>
      <c r="G505" t="s">
        <v>35</v>
      </c>
      <c r="H505" s="5" t="s">
        <v>341</v>
      </c>
      <c r="I505" s="7">
        <v>-25</v>
      </c>
      <c r="J505" s="7">
        <v>25</v>
      </c>
      <c r="K505" s="7">
        <v>0</v>
      </c>
      <c r="L505" s="7">
        <v>29349.87</v>
      </c>
      <c r="M505" t="s">
        <v>1213</v>
      </c>
      <c r="N505" t="s">
        <v>55</v>
      </c>
      <c r="O505">
        <v>26</v>
      </c>
      <c r="P505" s="5" t="s">
        <v>1262</v>
      </c>
    </row>
    <row r="506" spans="1:16">
      <c r="A506" s="4">
        <v>46238</v>
      </c>
      <c r="B506" t="s">
        <v>384</v>
      </c>
      <c r="C506" s="5" t="s">
        <v>1263</v>
      </c>
      <c r="D506" t="s">
        <v>385</v>
      </c>
      <c r="E506" t="s">
        <v>3</v>
      </c>
      <c r="F506" t="s">
        <v>26</v>
      </c>
      <c r="G506" t="s">
        <v>35</v>
      </c>
      <c r="H506" s="5" t="s">
        <v>93</v>
      </c>
      <c r="I506" s="7">
        <v>-27.7</v>
      </c>
      <c r="J506" s="7">
        <v>27.7</v>
      </c>
      <c r="K506" s="7">
        <v>0</v>
      </c>
      <c r="L506" s="7">
        <v>29322.17</v>
      </c>
      <c r="M506" t="s">
        <v>1213</v>
      </c>
      <c r="N506" t="s">
        <v>55</v>
      </c>
      <c r="O506">
        <v>26</v>
      </c>
      <c r="P506" s="5" t="s">
        <v>1264</v>
      </c>
    </row>
    <row r="507" spans="1:16">
      <c r="A507" s="4">
        <v>46238</v>
      </c>
      <c r="B507" t="s">
        <v>81</v>
      </c>
      <c r="C507" s="5" t="s">
        <v>1265</v>
      </c>
      <c r="D507" t="s">
        <v>83</v>
      </c>
      <c r="E507" t="s">
        <v>2</v>
      </c>
      <c r="F507" t="s">
        <v>25</v>
      </c>
      <c r="G507" t="s">
        <v>35</v>
      </c>
      <c r="H507" s="5" t="s">
        <v>84</v>
      </c>
      <c r="I507" s="7">
        <v>-26.93</v>
      </c>
      <c r="J507" s="7">
        <v>26.93</v>
      </c>
      <c r="K507" s="7">
        <v>0</v>
      </c>
      <c r="L507" s="7">
        <v>29295.24</v>
      </c>
      <c r="M507" t="s">
        <v>1213</v>
      </c>
      <c r="N507" t="s">
        <v>55</v>
      </c>
      <c r="O507">
        <v>26</v>
      </c>
      <c r="P507" s="5" t="s">
        <v>1266</v>
      </c>
    </row>
    <row r="508" spans="1:16">
      <c r="A508" s="4">
        <v>46238</v>
      </c>
      <c r="B508" t="s">
        <v>436</v>
      </c>
      <c r="C508" s="5" t="s">
        <v>1265</v>
      </c>
      <c r="D508" t="s">
        <v>438</v>
      </c>
      <c r="E508" t="s">
        <v>17</v>
      </c>
      <c r="F508" t="s">
        <v>29</v>
      </c>
      <c r="G508" s="8" t="s">
        <v>36</v>
      </c>
      <c r="H508" s="5"/>
      <c r="I508" s="7">
        <v>-5.08</v>
      </c>
      <c r="J508" s="7">
        <v>5.08</v>
      </c>
      <c r="K508" s="7">
        <v>0</v>
      </c>
      <c r="L508" s="7">
        <v>29290.16</v>
      </c>
      <c r="M508" t="s">
        <v>1213</v>
      </c>
      <c r="N508" t="s">
        <v>55</v>
      </c>
      <c r="O508">
        <v>26</v>
      </c>
      <c r="P508" s="5" t="s">
        <v>1267</v>
      </c>
    </row>
    <row r="509" spans="1:16">
      <c r="A509" s="4">
        <v>46238</v>
      </c>
      <c r="B509" t="s">
        <v>1268</v>
      </c>
      <c r="C509" s="5" t="s">
        <v>1269</v>
      </c>
      <c r="D509" t="s">
        <v>1270</v>
      </c>
      <c r="E509" t="s">
        <v>8</v>
      </c>
      <c r="F509" t="s">
        <v>26</v>
      </c>
      <c r="G509" t="s">
        <v>35</v>
      </c>
      <c r="H509" s="5" t="s">
        <v>1271</v>
      </c>
      <c r="I509" s="7">
        <v>-90.33</v>
      </c>
      <c r="J509" s="7">
        <v>90.33</v>
      </c>
      <c r="K509" s="7">
        <v>0</v>
      </c>
      <c r="L509" s="7">
        <v>29199.83</v>
      </c>
      <c r="M509" t="s">
        <v>1213</v>
      </c>
      <c r="N509" t="s">
        <v>55</v>
      </c>
      <c r="O509">
        <v>26</v>
      </c>
      <c r="P509" s="5" t="s">
        <v>1272</v>
      </c>
    </row>
    <row r="510" spans="1:16">
      <c r="A510" s="4">
        <v>46238</v>
      </c>
      <c r="B510" t="s">
        <v>183</v>
      </c>
      <c r="C510" s="5" t="s">
        <v>1273</v>
      </c>
      <c r="D510" t="s">
        <v>183</v>
      </c>
      <c r="E510" t="s">
        <v>13</v>
      </c>
      <c r="F510" t="s">
        <v>25</v>
      </c>
      <c r="G510" t="s">
        <v>35</v>
      </c>
      <c r="H510" s="5" t="s">
        <v>185</v>
      </c>
      <c r="I510" s="7">
        <v>-3.16</v>
      </c>
      <c r="J510" s="7">
        <v>3.16</v>
      </c>
      <c r="K510" s="7">
        <v>0</v>
      </c>
      <c r="L510" s="7">
        <v>29196.67</v>
      </c>
      <c r="M510" t="s">
        <v>1213</v>
      </c>
      <c r="N510" t="s">
        <v>55</v>
      </c>
      <c r="O510">
        <v>27</v>
      </c>
      <c r="P510" s="5" t="s">
        <v>1274</v>
      </c>
    </row>
    <row r="511" spans="1:16">
      <c r="A511" s="4">
        <v>46238</v>
      </c>
      <c r="B511" t="s">
        <v>389</v>
      </c>
      <c r="C511" s="5" t="s">
        <v>1275</v>
      </c>
      <c r="D511" t="s">
        <v>390</v>
      </c>
      <c r="E511" t="s">
        <v>17</v>
      </c>
      <c r="F511" t="s">
        <v>29</v>
      </c>
      <c r="G511" s="8" t="s">
        <v>36</v>
      </c>
      <c r="H511" s="5"/>
      <c r="I511" s="7">
        <v>-16.18</v>
      </c>
      <c r="J511" s="7">
        <v>16.18</v>
      </c>
      <c r="K511" s="7">
        <v>0</v>
      </c>
      <c r="L511" s="7">
        <v>29180.49</v>
      </c>
      <c r="M511" t="s">
        <v>1213</v>
      </c>
      <c r="N511" t="s">
        <v>55</v>
      </c>
      <c r="O511">
        <v>27</v>
      </c>
      <c r="P511" s="5" t="s">
        <v>1276</v>
      </c>
    </row>
    <row r="512" spans="1:16">
      <c r="A512" s="4">
        <v>46238</v>
      </c>
      <c r="B512" t="s">
        <v>1277</v>
      </c>
      <c r="C512" s="5" t="s">
        <v>1278</v>
      </c>
      <c r="D512" t="s">
        <v>1279</v>
      </c>
      <c r="E512" t="s">
        <v>8</v>
      </c>
      <c r="F512" t="s">
        <v>26</v>
      </c>
      <c r="G512" t="s">
        <v>35</v>
      </c>
      <c r="H512" s="5" t="s">
        <v>1271</v>
      </c>
      <c r="I512" s="7">
        <v>-98.70999999999999</v>
      </c>
      <c r="J512" s="7">
        <v>98.70999999999999</v>
      </c>
      <c r="K512" s="7">
        <v>0</v>
      </c>
      <c r="L512" s="7">
        <v>29081.78</v>
      </c>
      <c r="M512" t="s">
        <v>1213</v>
      </c>
      <c r="N512" t="s">
        <v>55</v>
      </c>
      <c r="O512">
        <v>27</v>
      </c>
      <c r="P512" s="5" t="s">
        <v>1280</v>
      </c>
    </row>
    <row r="513" spans="1:16">
      <c r="A513" s="4">
        <v>46238</v>
      </c>
      <c r="B513" t="s">
        <v>183</v>
      </c>
      <c r="C513" s="5" t="s">
        <v>1281</v>
      </c>
      <c r="D513" t="s">
        <v>183</v>
      </c>
      <c r="E513" t="s">
        <v>13</v>
      </c>
      <c r="F513" t="s">
        <v>25</v>
      </c>
      <c r="G513" t="s">
        <v>35</v>
      </c>
      <c r="H513" s="5" t="s">
        <v>185</v>
      </c>
      <c r="I513" s="7">
        <v>-3.45</v>
      </c>
      <c r="J513" s="7">
        <v>3.45</v>
      </c>
      <c r="K513" s="7">
        <v>0</v>
      </c>
      <c r="L513" s="7">
        <v>29078.33</v>
      </c>
      <c r="M513" t="s">
        <v>1213</v>
      </c>
      <c r="N513" t="s">
        <v>55</v>
      </c>
      <c r="O513">
        <v>27</v>
      </c>
      <c r="P513" s="5" t="s">
        <v>1282</v>
      </c>
    </row>
    <row r="514" spans="1:16">
      <c r="A514" s="4">
        <v>46238</v>
      </c>
      <c r="B514" t="s">
        <v>1283</v>
      </c>
      <c r="C514" s="5" t="s">
        <v>1275</v>
      </c>
      <c r="D514" t="s">
        <v>1284</v>
      </c>
      <c r="E514" t="s">
        <v>3</v>
      </c>
      <c r="F514" t="s">
        <v>26</v>
      </c>
      <c r="G514" t="s">
        <v>35</v>
      </c>
      <c r="H514" s="5" t="s">
        <v>1285</v>
      </c>
      <c r="I514" s="7">
        <v>-8.02</v>
      </c>
      <c r="J514" s="7">
        <v>8.02</v>
      </c>
      <c r="K514" s="7">
        <v>0</v>
      </c>
      <c r="L514" s="7">
        <v>29070.31</v>
      </c>
      <c r="M514" t="s">
        <v>1213</v>
      </c>
      <c r="N514" t="s">
        <v>55</v>
      </c>
      <c r="O514">
        <v>27</v>
      </c>
      <c r="P514" s="5" t="s">
        <v>1286</v>
      </c>
    </row>
    <row r="515" spans="1:16">
      <c r="A515" s="4">
        <v>46238</v>
      </c>
      <c r="B515" t="s">
        <v>943</v>
      </c>
      <c r="C515" s="5"/>
      <c r="D515" t="s">
        <v>944</v>
      </c>
      <c r="E515" t="s">
        <v>3</v>
      </c>
      <c r="F515" t="s">
        <v>26</v>
      </c>
      <c r="G515" t="s">
        <v>33</v>
      </c>
      <c r="H515" s="5" t="s">
        <v>945</v>
      </c>
      <c r="I515" s="7">
        <v>-5.58</v>
      </c>
      <c r="J515" s="7">
        <v>5.58</v>
      </c>
      <c r="K515" s="7">
        <v>0</v>
      </c>
      <c r="L515" s="7">
        <v>29064.73</v>
      </c>
      <c r="M515" t="s">
        <v>1213</v>
      </c>
      <c r="N515" t="s">
        <v>55</v>
      </c>
      <c r="O515">
        <v>27</v>
      </c>
      <c r="P515" s="5" t="s">
        <v>1287</v>
      </c>
    </row>
    <row r="516" spans="1:16">
      <c r="A516" s="4">
        <v>46239</v>
      </c>
      <c r="B516" t="s">
        <v>1288</v>
      </c>
      <c r="C516" s="5" t="s">
        <v>1235</v>
      </c>
      <c r="D516" t="s">
        <v>1289</v>
      </c>
      <c r="E516" t="s">
        <v>17</v>
      </c>
      <c r="F516" t="s">
        <v>29</v>
      </c>
      <c r="G516" s="8" t="s">
        <v>36</v>
      </c>
      <c r="H516" s="5"/>
      <c r="I516" s="7">
        <v>-170</v>
      </c>
      <c r="J516" s="7">
        <v>170</v>
      </c>
      <c r="K516" s="7">
        <v>0</v>
      </c>
      <c r="L516" s="7">
        <v>28894.73</v>
      </c>
      <c r="M516" t="s">
        <v>1213</v>
      </c>
      <c r="N516" t="s">
        <v>55</v>
      </c>
      <c r="O516">
        <v>27</v>
      </c>
      <c r="P516" s="5" t="s">
        <v>1290</v>
      </c>
    </row>
    <row r="517" spans="1:16">
      <c r="A517" s="4">
        <v>46239</v>
      </c>
      <c r="B517" t="s">
        <v>1291</v>
      </c>
      <c r="C517" s="5" t="s">
        <v>1292</v>
      </c>
      <c r="D517" t="s">
        <v>1293</v>
      </c>
      <c r="E517" t="s">
        <v>2</v>
      </c>
      <c r="F517" t="s">
        <v>25</v>
      </c>
      <c r="G517" t="s">
        <v>35</v>
      </c>
      <c r="H517" s="5" t="s">
        <v>89</v>
      </c>
      <c r="I517" s="7">
        <v>-45.17</v>
      </c>
      <c r="J517" s="7">
        <v>45.17</v>
      </c>
      <c r="K517" s="7">
        <v>0</v>
      </c>
      <c r="L517" s="7">
        <v>28849.56</v>
      </c>
      <c r="M517" t="s">
        <v>1213</v>
      </c>
      <c r="N517" t="s">
        <v>55</v>
      </c>
      <c r="O517">
        <v>27</v>
      </c>
      <c r="P517" s="5" t="s">
        <v>1294</v>
      </c>
    </row>
    <row r="518" spans="1:16">
      <c r="A518" s="4">
        <v>46239</v>
      </c>
      <c r="B518" t="s">
        <v>178</v>
      </c>
      <c r="C518" s="5" t="s">
        <v>1295</v>
      </c>
      <c r="D518" t="s">
        <v>180</v>
      </c>
      <c r="E518" t="s">
        <v>9</v>
      </c>
      <c r="F518" t="s">
        <v>26</v>
      </c>
      <c r="G518" t="s">
        <v>33</v>
      </c>
      <c r="H518" s="5" t="s">
        <v>181</v>
      </c>
      <c r="I518" s="7">
        <v>-70.11</v>
      </c>
      <c r="J518" s="7">
        <v>70.11</v>
      </c>
      <c r="K518" s="7">
        <v>0</v>
      </c>
      <c r="L518" s="7">
        <v>28779.45</v>
      </c>
      <c r="M518" t="s">
        <v>1213</v>
      </c>
      <c r="N518" t="s">
        <v>55</v>
      </c>
      <c r="O518">
        <v>27</v>
      </c>
      <c r="P518" s="5" t="s">
        <v>1296</v>
      </c>
    </row>
    <row r="519" spans="1:16">
      <c r="A519" s="4">
        <v>46239</v>
      </c>
      <c r="B519" t="s">
        <v>183</v>
      </c>
      <c r="C519" s="5" t="s">
        <v>1297</v>
      </c>
      <c r="D519" t="s">
        <v>183</v>
      </c>
      <c r="E519" t="s">
        <v>13</v>
      </c>
      <c r="F519" t="s">
        <v>25</v>
      </c>
      <c r="G519" t="s">
        <v>35</v>
      </c>
      <c r="H519" s="5" t="s">
        <v>185</v>
      </c>
      <c r="I519" s="7">
        <v>-2.45</v>
      </c>
      <c r="J519" s="7">
        <v>2.45</v>
      </c>
      <c r="K519" s="7">
        <v>0</v>
      </c>
      <c r="L519" s="7">
        <v>28777</v>
      </c>
      <c r="M519" t="s">
        <v>1213</v>
      </c>
      <c r="N519" t="s">
        <v>55</v>
      </c>
      <c r="O519">
        <v>27</v>
      </c>
      <c r="P519" s="5" t="s">
        <v>1298</v>
      </c>
    </row>
    <row r="520" spans="1:16">
      <c r="A520" s="4">
        <v>46239</v>
      </c>
      <c r="B520" t="s">
        <v>384</v>
      </c>
      <c r="C520" s="5" t="s">
        <v>1292</v>
      </c>
      <c r="D520" t="s">
        <v>385</v>
      </c>
      <c r="E520" t="s">
        <v>3</v>
      </c>
      <c r="F520" t="s">
        <v>26</v>
      </c>
      <c r="G520" t="s">
        <v>35</v>
      </c>
      <c r="H520" s="5" t="s">
        <v>93</v>
      </c>
      <c r="I520" s="7">
        <v>-27.1</v>
      </c>
      <c r="J520" s="7">
        <v>27.1</v>
      </c>
      <c r="K520" s="7">
        <v>0</v>
      </c>
      <c r="L520" s="7">
        <v>28749.9</v>
      </c>
      <c r="M520" t="s">
        <v>1213</v>
      </c>
      <c r="N520" t="s">
        <v>55</v>
      </c>
      <c r="O520">
        <v>27</v>
      </c>
      <c r="P520" s="5" t="s">
        <v>1299</v>
      </c>
    </row>
    <row r="521" spans="1:16">
      <c r="A521" s="4">
        <v>46239</v>
      </c>
      <c r="B521" t="s">
        <v>943</v>
      </c>
      <c r="C521" s="5"/>
      <c r="D521" t="s">
        <v>944</v>
      </c>
      <c r="E521" t="s">
        <v>3</v>
      </c>
      <c r="F521" t="s">
        <v>26</v>
      </c>
      <c r="G521" t="s">
        <v>33</v>
      </c>
      <c r="H521" s="5" t="s">
        <v>945</v>
      </c>
      <c r="I521" s="7">
        <v>-5.58</v>
      </c>
      <c r="J521" s="7">
        <v>5.58</v>
      </c>
      <c r="K521" s="7">
        <v>0</v>
      </c>
      <c r="L521" s="7">
        <v>28744.32</v>
      </c>
      <c r="M521" t="s">
        <v>1213</v>
      </c>
      <c r="N521" t="s">
        <v>55</v>
      </c>
      <c r="O521">
        <v>27</v>
      </c>
      <c r="P521" s="5" t="s">
        <v>1300</v>
      </c>
    </row>
    <row r="522" spans="1:16">
      <c r="A522" s="4">
        <v>46239</v>
      </c>
      <c r="B522" t="s">
        <v>138</v>
      </c>
      <c r="C522" s="5" t="s">
        <v>1301</v>
      </c>
      <c r="D522" t="s">
        <v>138</v>
      </c>
      <c r="E522" t="s">
        <v>6</v>
      </c>
      <c r="F522" t="s">
        <v>26</v>
      </c>
      <c r="G522" t="s">
        <v>35</v>
      </c>
      <c r="H522" s="5" t="s">
        <v>140</v>
      </c>
      <c r="I522" s="7">
        <v>-68</v>
      </c>
      <c r="J522" s="7">
        <v>68</v>
      </c>
      <c r="K522" s="7">
        <v>0</v>
      </c>
      <c r="L522" s="7">
        <v>28676.32</v>
      </c>
      <c r="M522" t="s">
        <v>1213</v>
      </c>
      <c r="N522" t="s">
        <v>55</v>
      </c>
      <c r="O522">
        <v>27</v>
      </c>
      <c r="P522" s="5" t="s">
        <v>1302</v>
      </c>
    </row>
    <row r="523" spans="1:16">
      <c r="A523" s="4">
        <v>46240</v>
      </c>
      <c r="B523" t="s">
        <v>1145</v>
      </c>
      <c r="C523" s="5" t="s">
        <v>1303</v>
      </c>
      <c r="D523" t="s">
        <v>1146</v>
      </c>
      <c r="E523" t="s">
        <v>2</v>
      </c>
      <c r="F523" t="s">
        <v>25</v>
      </c>
      <c r="G523" s="6" t="s">
        <v>34</v>
      </c>
      <c r="H523" s="5" t="s">
        <v>1147</v>
      </c>
      <c r="I523" s="7">
        <v>-4.98</v>
      </c>
      <c r="J523" s="7">
        <v>4.98</v>
      </c>
      <c r="K523" s="7">
        <v>0</v>
      </c>
      <c r="L523" s="7">
        <v>28671.34</v>
      </c>
      <c r="M523" t="s">
        <v>1213</v>
      </c>
      <c r="N523" t="s">
        <v>55</v>
      </c>
      <c r="O523">
        <v>27</v>
      </c>
      <c r="P523" s="5" t="s">
        <v>1304</v>
      </c>
    </row>
    <row r="524" spans="1:16">
      <c r="A524" s="4">
        <v>46240</v>
      </c>
      <c r="B524" t="s">
        <v>109</v>
      </c>
      <c r="C524" s="5" t="s">
        <v>1305</v>
      </c>
      <c r="D524" t="s">
        <v>111</v>
      </c>
      <c r="E524" t="s">
        <v>3</v>
      </c>
      <c r="F524" t="s">
        <v>26</v>
      </c>
      <c r="G524" t="s">
        <v>35</v>
      </c>
      <c r="H524" s="5" t="s">
        <v>112</v>
      </c>
      <c r="I524" s="7">
        <v>-29.82</v>
      </c>
      <c r="J524" s="7">
        <v>29.82</v>
      </c>
      <c r="K524" s="7">
        <v>0</v>
      </c>
      <c r="L524" s="7">
        <v>28641.52</v>
      </c>
      <c r="M524" t="s">
        <v>1213</v>
      </c>
      <c r="N524" t="s">
        <v>55</v>
      </c>
      <c r="O524">
        <v>27</v>
      </c>
      <c r="P524" s="5" t="s">
        <v>1306</v>
      </c>
    </row>
    <row r="525" spans="1:16">
      <c r="A525" s="4">
        <v>46240</v>
      </c>
      <c r="B525" t="s">
        <v>235</v>
      </c>
      <c r="C525" s="5" t="s">
        <v>1307</v>
      </c>
      <c r="D525" t="s">
        <v>100</v>
      </c>
      <c r="E525" t="s">
        <v>5</v>
      </c>
      <c r="F525" t="s">
        <v>25</v>
      </c>
      <c r="G525" t="s">
        <v>33</v>
      </c>
      <c r="H525" s="5" t="s">
        <v>101</v>
      </c>
      <c r="I525" s="7">
        <v>-60</v>
      </c>
      <c r="J525" s="7">
        <v>60</v>
      </c>
      <c r="K525" s="7">
        <v>0</v>
      </c>
      <c r="L525" s="7">
        <v>28581.52</v>
      </c>
      <c r="M525" t="s">
        <v>1213</v>
      </c>
      <c r="N525" t="s">
        <v>55</v>
      </c>
      <c r="O525">
        <v>27</v>
      </c>
      <c r="P525" s="5" t="s">
        <v>1308</v>
      </c>
    </row>
    <row r="526" spans="1:16">
      <c r="A526" s="4">
        <v>46240</v>
      </c>
      <c r="B526" t="s">
        <v>1309</v>
      </c>
      <c r="C526" s="5" t="s">
        <v>1310</v>
      </c>
      <c r="D526" t="s">
        <v>1311</v>
      </c>
      <c r="E526" t="s">
        <v>3</v>
      </c>
      <c r="F526" t="s">
        <v>26</v>
      </c>
      <c r="G526" t="s">
        <v>35</v>
      </c>
      <c r="H526" s="5" t="s">
        <v>1312</v>
      </c>
      <c r="I526" s="7">
        <v>-25.01</v>
      </c>
      <c r="J526" s="7">
        <v>25.01</v>
      </c>
      <c r="K526" s="7">
        <v>0</v>
      </c>
      <c r="L526" s="7">
        <v>28556.51</v>
      </c>
      <c r="M526" t="s">
        <v>1213</v>
      </c>
      <c r="N526" t="s">
        <v>55</v>
      </c>
      <c r="O526">
        <v>27</v>
      </c>
      <c r="P526" s="5" t="s">
        <v>1313</v>
      </c>
    </row>
    <row r="527" spans="1:16">
      <c r="A527" s="4">
        <v>46241</v>
      </c>
      <c r="B527" t="s">
        <v>1314</v>
      </c>
      <c r="C527" s="5" t="s">
        <v>1303</v>
      </c>
      <c r="D527" t="s">
        <v>1146</v>
      </c>
      <c r="E527" t="s">
        <v>2</v>
      </c>
      <c r="F527" t="s">
        <v>25</v>
      </c>
      <c r="G527" s="6" t="s">
        <v>34</v>
      </c>
      <c r="H527" s="5" t="s">
        <v>1315</v>
      </c>
      <c r="I527" s="7">
        <v>-137.72</v>
      </c>
      <c r="J527" s="7">
        <v>137.72</v>
      </c>
      <c r="K527" s="7">
        <v>0</v>
      </c>
      <c r="L527" s="7">
        <v>28418.79</v>
      </c>
      <c r="M527" t="s">
        <v>1213</v>
      </c>
      <c r="N527" t="s">
        <v>55</v>
      </c>
      <c r="O527">
        <v>28</v>
      </c>
      <c r="P527" s="5" t="s">
        <v>1316</v>
      </c>
    </row>
    <row r="528" spans="1:16">
      <c r="A528" s="4">
        <v>46241</v>
      </c>
      <c r="B528" t="s">
        <v>1317</v>
      </c>
      <c r="C528" s="5" t="s">
        <v>1318</v>
      </c>
      <c r="D528" t="s">
        <v>1319</v>
      </c>
      <c r="E528" t="s">
        <v>8</v>
      </c>
      <c r="F528" t="s">
        <v>26</v>
      </c>
      <c r="G528" t="s">
        <v>33</v>
      </c>
      <c r="H528" s="5" t="s">
        <v>1320</v>
      </c>
      <c r="I528" s="7">
        <v>-176</v>
      </c>
      <c r="J528" s="7">
        <v>176</v>
      </c>
      <c r="K528" s="7">
        <v>0</v>
      </c>
      <c r="L528" s="7">
        <v>28242.79</v>
      </c>
      <c r="M528" t="s">
        <v>1213</v>
      </c>
      <c r="N528" t="s">
        <v>55</v>
      </c>
      <c r="O528">
        <v>28</v>
      </c>
      <c r="P528" s="5" t="s">
        <v>1321</v>
      </c>
    </row>
    <row r="529" spans="1:16">
      <c r="A529" s="4">
        <v>46241</v>
      </c>
      <c r="B529" t="s">
        <v>747</v>
      </c>
      <c r="C529" s="5"/>
      <c r="D529" t="s">
        <v>748</v>
      </c>
      <c r="E529" t="s">
        <v>8</v>
      </c>
      <c r="F529" t="s">
        <v>26</v>
      </c>
      <c r="G529" t="s">
        <v>35</v>
      </c>
      <c r="H529" s="5" t="s">
        <v>749</v>
      </c>
      <c r="I529" s="7">
        <v>-25</v>
      </c>
      <c r="J529" s="7">
        <v>25</v>
      </c>
      <c r="K529" s="7">
        <v>0</v>
      </c>
      <c r="L529" s="7">
        <v>28217.79</v>
      </c>
      <c r="M529" t="s">
        <v>1213</v>
      </c>
      <c r="N529" t="s">
        <v>55</v>
      </c>
      <c r="O529">
        <v>28</v>
      </c>
      <c r="P529" s="5" t="s">
        <v>1322</v>
      </c>
    </row>
    <row r="530" spans="1:16">
      <c r="A530" s="4">
        <v>46241</v>
      </c>
      <c r="B530" t="s">
        <v>333</v>
      </c>
      <c r="C530" s="5"/>
      <c r="D530" t="s">
        <v>334</v>
      </c>
      <c r="E530" t="s">
        <v>3</v>
      </c>
      <c r="F530" t="s">
        <v>26</v>
      </c>
      <c r="G530" t="s">
        <v>35</v>
      </c>
      <c r="H530" s="5" t="s">
        <v>241</v>
      </c>
      <c r="I530" s="7">
        <v>-8.029999999999999</v>
      </c>
      <c r="J530" s="7">
        <v>8.029999999999999</v>
      </c>
      <c r="K530" s="7">
        <v>0</v>
      </c>
      <c r="L530" s="7">
        <v>28209.76</v>
      </c>
      <c r="M530" t="s">
        <v>1213</v>
      </c>
      <c r="N530" t="s">
        <v>55</v>
      </c>
      <c r="O530">
        <v>28</v>
      </c>
      <c r="P530" s="5" t="s">
        <v>1323</v>
      </c>
    </row>
    <row r="531" spans="1:16">
      <c r="A531" s="4">
        <v>46241</v>
      </c>
      <c r="B531" t="s">
        <v>318</v>
      </c>
      <c r="C531" s="5" t="s">
        <v>1324</v>
      </c>
      <c r="D531" t="s">
        <v>320</v>
      </c>
      <c r="E531" t="s">
        <v>6</v>
      </c>
      <c r="F531" t="s">
        <v>26</v>
      </c>
      <c r="G531" t="s">
        <v>35</v>
      </c>
      <c r="H531" s="5" t="s">
        <v>321</v>
      </c>
      <c r="I531" s="7">
        <v>-22.9</v>
      </c>
      <c r="J531" s="7">
        <v>22.9</v>
      </c>
      <c r="K531" s="7">
        <v>0</v>
      </c>
      <c r="L531" s="7">
        <v>28186.86</v>
      </c>
      <c r="M531" t="s">
        <v>1213</v>
      </c>
      <c r="N531" t="s">
        <v>55</v>
      </c>
      <c r="O531">
        <v>28</v>
      </c>
      <c r="P531" s="5" t="s">
        <v>1325</v>
      </c>
    </row>
    <row r="532" spans="1:16">
      <c r="A532" s="4">
        <v>46241</v>
      </c>
      <c r="B532" t="s">
        <v>318</v>
      </c>
      <c r="C532" s="5" t="s">
        <v>1326</v>
      </c>
      <c r="D532" t="s">
        <v>320</v>
      </c>
      <c r="E532" t="s">
        <v>6</v>
      </c>
      <c r="F532" t="s">
        <v>26</v>
      </c>
      <c r="G532" t="s">
        <v>35</v>
      </c>
      <c r="H532" s="5" t="s">
        <v>321</v>
      </c>
      <c r="I532" s="7">
        <v>-30.9</v>
      </c>
      <c r="J532" s="7">
        <v>30.9</v>
      </c>
      <c r="K532" s="7">
        <v>0</v>
      </c>
      <c r="L532" s="7">
        <v>28155.96</v>
      </c>
      <c r="M532" t="s">
        <v>1213</v>
      </c>
      <c r="N532" t="s">
        <v>55</v>
      </c>
      <c r="O532">
        <v>28</v>
      </c>
      <c r="P532" s="5" t="s">
        <v>1327</v>
      </c>
    </row>
    <row r="533" spans="1:16">
      <c r="A533" s="4">
        <v>46242</v>
      </c>
      <c r="B533" t="s">
        <v>81</v>
      </c>
      <c r="C533" s="5" t="s">
        <v>1328</v>
      </c>
      <c r="D533" t="s">
        <v>83</v>
      </c>
      <c r="E533" t="s">
        <v>2</v>
      </c>
      <c r="F533" t="s">
        <v>25</v>
      </c>
      <c r="G533" t="s">
        <v>35</v>
      </c>
      <c r="H533" s="5" t="s">
        <v>84</v>
      </c>
      <c r="I533" s="7">
        <v>-39.03</v>
      </c>
      <c r="J533" s="7">
        <v>39.03</v>
      </c>
      <c r="K533" s="7">
        <v>0</v>
      </c>
      <c r="L533" s="7">
        <v>28116.93</v>
      </c>
      <c r="M533" t="s">
        <v>1213</v>
      </c>
      <c r="N533" t="s">
        <v>55</v>
      </c>
      <c r="O533">
        <v>28</v>
      </c>
      <c r="P533" s="5" t="s">
        <v>1329</v>
      </c>
    </row>
    <row r="534" spans="1:16">
      <c r="A534" s="4">
        <v>46242</v>
      </c>
      <c r="B534" t="s">
        <v>966</v>
      </c>
      <c r="C534" s="5" t="s">
        <v>1330</v>
      </c>
      <c r="D534" t="s">
        <v>100</v>
      </c>
      <c r="E534" t="s">
        <v>5</v>
      </c>
      <c r="F534" t="s">
        <v>25</v>
      </c>
      <c r="G534" t="s">
        <v>33</v>
      </c>
      <c r="H534" s="5" t="s">
        <v>968</v>
      </c>
      <c r="I534" s="7">
        <v>-5.77</v>
      </c>
      <c r="J534" s="7">
        <v>5.77</v>
      </c>
      <c r="K534" s="7">
        <v>0</v>
      </c>
      <c r="L534" s="7">
        <v>28111.16</v>
      </c>
      <c r="M534" t="s">
        <v>1213</v>
      </c>
      <c r="N534" t="s">
        <v>55</v>
      </c>
      <c r="O534">
        <v>28</v>
      </c>
      <c r="P534" s="5" t="s">
        <v>1331</v>
      </c>
    </row>
    <row r="535" spans="1:16">
      <c r="A535" s="4">
        <v>46242</v>
      </c>
      <c r="B535" t="s">
        <v>1332</v>
      </c>
      <c r="C535" s="5" t="s">
        <v>1330</v>
      </c>
      <c r="D535" t="s">
        <v>396</v>
      </c>
      <c r="E535" t="s">
        <v>3</v>
      </c>
      <c r="F535" t="s">
        <v>26</v>
      </c>
      <c r="G535" t="s">
        <v>35</v>
      </c>
      <c r="H535" s="5" t="s">
        <v>397</v>
      </c>
      <c r="I535" s="7">
        <v>-9.09</v>
      </c>
      <c r="J535" s="7">
        <v>9.09</v>
      </c>
      <c r="K535" s="7">
        <v>0</v>
      </c>
      <c r="L535" s="7">
        <v>28102.07</v>
      </c>
      <c r="M535" t="s">
        <v>1213</v>
      </c>
      <c r="N535" t="s">
        <v>55</v>
      </c>
      <c r="O535">
        <v>28</v>
      </c>
      <c r="P535" s="5" t="s">
        <v>1333</v>
      </c>
    </row>
    <row r="536" spans="1:16">
      <c r="A536" s="4">
        <v>46242</v>
      </c>
      <c r="B536" t="s">
        <v>1334</v>
      </c>
      <c r="C536" s="5" t="s">
        <v>1330</v>
      </c>
      <c r="D536" t="s">
        <v>1335</v>
      </c>
      <c r="E536" t="s">
        <v>17</v>
      </c>
      <c r="F536" t="s">
        <v>29</v>
      </c>
      <c r="G536" s="8" t="s">
        <v>36</v>
      </c>
      <c r="H536" s="5"/>
      <c r="I536" s="7">
        <v>-6.1</v>
      </c>
      <c r="J536" s="7">
        <v>6.1</v>
      </c>
      <c r="K536" s="7">
        <v>0</v>
      </c>
      <c r="L536" s="7">
        <v>28095.97</v>
      </c>
      <c r="M536" t="s">
        <v>1213</v>
      </c>
      <c r="N536" t="s">
        <v>55</v>
      </c>
      <c r="O536">
        <v>28</v>
      </c>
      <c r="P536" s="5" t="s">
        <v>1336</v>
      </c>
    </row>
    <row r="537" spans="1:16">
      <c r="A537" s="4">
        <v>46242</v>
      </c>
      <c r="B537" t="s">
        <v>133</v>
      </c>
      <c r="C537" s="5"/>
      <c r="D537" t="s">
        <v>83</v>
      </c>
      <c r="E537" t="s">
        <v>2</v>
      </c>
      <c r="F537" t="s">
        <v>25</v>
      </c>
      <c r="G537" t="s">
        <v>35</v>
      </c>
      <c r="H537" s="5" t="s">
        <v>84</v>
      </c>
      <c r="I537" s="7">
        <v>-12.83</v>
      </c>
      <c r="J537" s="7">
        <v>12.83</v>
      </c>
      <c r="K537" s="7">
        <v>0</v>
      </c>
      <c r="L537" s="7">
        <v>28083.14</v>
      </c>
      <c r="M537" t="s">
        <v>1213</v>
      </c>
      <c r="N537" t="s">
        <v>55</v>
      </c>
      <c r="O537">
        <v>28</v>
      </c>
      <c r="P537" s="5" t="s">
        <v>1337</v>
      </c>
    </row>
    <row r="538" spans="1:16">
      <c r="A538" s="4">
        <v>46242</v>
      </c>
      <c r="B538" t="s">
        <v>1338</v>
      </c>
      <c r="C538" s="5"/>
      <c r="D538" t="s">
        <v>1339</v>
      </c>
      <c r="E538" t="s">
        <v>17</v>
      </c>
      <c r="F538" t="s">
        <v>29</v>
      </c>
      <c r="G538" s="8" t="s">
        <v>36</v>
      </c>
      <c r="H538" s="5"/>
      <c r="I538" s="7">
        <v>-9</v>
      </c>
      <c r="J538" s="7">
        <v>9</v>
      </c>
      <c r="K538" s="7">
        <v>0</v>
      </c>
      <c r="L538" s="7">
        <v>28074.14</v>
      </c>
      <c r="M538" t="s">
        <v>1213</v>
      </c>
      <c r="N538" t="s">
        <v>55</v>
      </c>
      <c r="O538">
        <v>28</v>
      </c>
      <c r="P538" s="5" t="s">
        <v>1340</v>
      </c>
    </row>
    <row r="539" spans="1:16">
      <c r="A539" s="4">
        <v>46243</v>
      </c>
      <c r="B539" t="s">
        <v>133</v>
      </c>
      <c r="C539" s="5"/>
      <c r="D539" t="s">
        <v>83</v>
      </c>
      <c r="E539" t="s">
        <v>2</v>
      </c>
      <c r="F539" t="s">
        <v>25</v>
      </c>
      <c r="G539" t="s">
        <v>35</v>
      </c>
      <c r="H539" s="5" t="s">
        <v>84</v>
      </c>
      <c r="I539" s="7">
        <v>-4</v>
      </c>
      <c r="J539" s="7">
        <v>4</v>
      </c>
      <c r="K539" s="7">
        <v>0</v>
      </c>
      <c r="L539" s="7">
        <v>28070.14</v>
      </c>
      <c r="M539" t="s">
        <v>1213</v>
      </c>
      <c r="N539" t="s">
        <v>55</v>
      </c>
      <c r="O539">
        <v>28</v>
      </c>
      <c r="P539" s="5" t="s">
        <v>1341</v>
      </c>
    </row>
    <row r="540" spans="1:16">
      <c r="A540" s="4">
        <v>46243</v>
      </c>
      <c r="B540" t="s">
        <v>133</v>
      </c>
      <c r="C540" s="5"/>
      <c r="D540" t="s">
        <v>83</v>
      </c>
      <c r="E540" t="s">
        <v>2</v>
      </c>
      <c r="F540" t="s">
        <v>25</v>
      </c>
      <c r="G540" t="s">
        <v>35</v>
      </c>
      <c r="H540" s="5" t="s">
        <v>84</v>
      </c>
      <c r="I540" s="7">
        <v>-16.5</v>
      </c>
      <c r="J540" s="7">
        <v>16.5</v>
      </c>
      <c r="K540" s="7">
        <v>0</v>
      </c>
      <c r="L540" s="7">
        <v>28053.64</v>
      </c>
      <c r="M540" t="s">
        <v>1213</v>
      </c>
      <c r="N540" t="s">
        <v>55</v>
      </c>
      <c r="O540">
        <v>28</v>
      </c>
      <c r="P540" s="5" t="s">
        <v>1342</v>
      </c>
    </row>
    <row r="541" spans="1:16">
      <c r="A541" s="4">
        <v>46244</v>
      </c>
      <c r="B541" t="s">
        <v>196</v>
      </c>
      <c r="C541" s="5"/>
      <c r="D541" t="s">
        <v>197</v>
      </c>
      <c r="E541" t="s">
        <v>8</v>
      </c>
      <c r="F541" t="s">
        <v>26</v>
      </c>
      <c r="G541" t="s">
        <v>35</v>
      </c>
      <c r="H541" s="5" t="s">
        <v>198</v>
      </c>
      <c r="I541" s="7">
        <v>-31.3</v>
      </c>
      <c r="J541" s="7">
        <v>31.3</v>
      </c>
      <c r="K541" s="7">
        <v>0</v>
      </c>
      <c r="L541" s="7">
        <v>28022.34</v>
      </c>
      <c r="M541" t="s">
        <v>1213</v>
      </c>
      <c r="N541" t="s">
        <v>55</v>
      </c>
      <c r="O541">
        <v>28</v>
      </c>
      <c r="P541" s="5" t="s">
        <v>1343</v>
      </c>
    </row>
    <row r="542" spans="1:16">
      <c r="A542" s="4">
        <v>46245</v>
      </c>
      <c r="B542" t="s">
        <v>142</v>
      </c>
      <c r="C542" s="5" t="s">
        <v>1344</v>
      </c>
      <c r="D542" t="s">
        <v>144</v>
      </c>
      <c r="E542" t="s">
        <v>4</v>
      </c>
      <c r="F542" t="s">
        <v>25</v>
      </c>
      <c r="G542" t="s">
        <v>35</v>
      </c>
      <c r="H542" s="5" t="s">
        <v>145</v>
      </c>
      <c r="I542" s="7">
        <v>-223.98</v>
      </c>
      <c r="J542" s="7">
        <v>223.98</v>
      </c>
      <c r="K542" s="7">
        <v>0</v>
      </c>
      <c r="L542" s="7">
        <v>27798.36</v>
      </c>
      <c r="M542" t="s">
        <v>1213</v>
      </c>
      <c r="N542" t="s">
        <v>55</v>
      </c>
      <c r="O542">
        <v>28</v>
      </c>
      <c r="P542" s="5" t="s">
        <v>1345</v>
      </c>
    </row>
    <row r="543" spans="1:16">
      <c r="A543" s="4">
        <v>46245</v>
      </c>
      <c r="B543" t="s">
        <v>1346</v>
      </c>
      <c r="C543" s="5" t="s">
        <v>1347</v>
      </c>
      <c r="D543" t="s">
        <v>1348</v>
      </c>
      <c r="E543" t="s">
        <v>23</v>
      </c>
      <c r="F543" t="s">
        <v>28</v>
      </c>
      <c r="G543" s="6" t="s">
        <v>34</v>
      </c>
      <c r="H543" s="5" t="s">
        <v>1349</v>
      </c>
      <c r="I543" s="7">
        <v>-42.7</v>
      </c>
      <c r="J543" s="7">
        <v>42.7</v>
      </c>
      <c r="K543" s="7">
        <v>0</v>
      </c>
      <c r="L543" s="7">
        <v>27755.66</v>
      </c>
      <c r="M543" t="s">
        <v>1213</v>
      </c>
      <c r="N543" t="s">
        <v>55</v>
      </c>
      <c r="O543">
        <v>28</v>
      </c>
      <c r="P543" s="5" t="s">
        <v>1350</v>
      </c>
    </row>
    <row r="544" spans="1:16">
      <c r="A544" s="4">
        <v>46245</v>
      </c>
      <c r="B544" t="s">
        <v>183</v>
      </c>
      <c r="C544" s="5" t="s">
        <v>1351</v>
      </c>
      <c r="D544" t="s">
        <v>183</v>
      </c>
      <c r="E544" t="s">
        <v>13</v>
      </c>
      <c r="F544" t="s">
        <v>25</v>
      </c>
      <c r="G544" t="s">
        <v>35</v>
      </c>
      <c r="H544" s="5" t="s">
        <v>185</v>
      </c>
      <c r="I544" s="7">
        <v>-1.49</v>
      </c>
      <c r="J544" s="7">
        <v>1.49</v>
      </c>
      <c r="K544" s="7">
        <v>0</v>
      </c>
      <c r="L544" s="7">
        <v>27754.17</v>
      </c>
      <c r="M544" t="s">
        <v>1213</v>
      </c>
      <c r="N544" t="s">
        <v>55</v>
      </c>
      <c r="O544">
        <v>28</v>
      </c>
      <c r="P544" s="5" t="s">
        <v>1352</v>
      </c>
    </row>
    <row r="545" spans="1:16">
      <c r="A545" s="4">
        <v>46245</v>
      </c>
      <c r="B545" t="s">
        <v>1353</v>
      </c>
      <c r="C545" s="5" t="s">
        <v>1354</v>
      </c>
      <c r="D545" t="s">
        <v>193</v>
      </c>
      <c r="E545" t="s">
        <v>11</v>
      </c>
      <c r="F545" t="s">
        <v>27</v>
      </c>
      <c r="G545" t="s">
        <v>33</v>
      </c>
      <c r="H545" s="5" t="s">
        <v>1355</v>
      </c>
      <c r="I545" s="7">
        <v>-8</v>
      </c>
      <c r="J545" s="7">
        <v>8</v>
      </c>
      <c r="K545" s="7">
        <v>0</v>
      </c>
      <c r="L545" s="7">
        <v>27746.17</v>
      </c>
      <c r="M545" t="s">
        <v>1213</v>
      </c>
      <c r="N545" t="s">
        <v>55</v>
      </c>
      <c r="O545">
        <v>28</v>
      </c>
      <c r="P545" s="5" t="s">
        <v>1356</v>
      </c>
    </row>
    <row r="546" spans="1:16">
      <c r="A546" s="4">
        <v>46245</v>
      </c>
      <c r="B546" t="s">
        <v>1357</v>
      </c>
      <c r="C546" s="5" t="s">
        <v>1358</v>
      </c>
      <c r="D546" t="s">
        <v>1359</v>
      </c>
      <c r="E546" t="s">
        <v>3</v>
      </c>
      <c r="F546" t="s">
        <v>26</v>
      </c>
      <c r="G546" t="s">
        <v>35</v>
      </c>
      <c r="H546" s="5" t="s">
        <v>1360</v>
      </c>
      <c r="I546" s="7">
        <v>-5.5</v>
      </c>
      <c r="J546" s="7">
        <v>5.5</v>
      </c>
      <c r="K546" s="7">
        <v>0</v>
      </c>
      <c r="L546" s="7">
        <v>27740.67</v>
      </c>
      <c r="M546" t="s">
        <v>1213</v>
      </c>
      <c r="N546" t="s">
        <v>55</v>
      </c>
      <c r="O546">
        <v>28</v>
      </c>
      <c r="P546" s="5" t="s">
        <v>1361</v>
      </c>
    </row>
    <row r="547" spans="1:16">
      <c r="A547" s="4">
        <v>46245</v>
      </c>
      <c r="B547" t="s">
        <v>1362</v>
      </c>
      <c r="C547" s="5" t="s">
        <v>1354</v>
      </c>
      <c r="D547" t="s">
        <v>1363</v>
      </c>
      <c r="E547" t="s">
        <v>17</v>
      </c>
      <c r="F547" t="s">
        <v>29</v>
      </c>
      <c r="G547" s="8" t="s">
        <v>36</v>
      </c>
      <c r="H547" s="5"/>
      <c r="I547" s="7">
        <v>-21</v>
      </c>
      <c r="J547" s="7">
        <v>21</v>
      </c>
      <c r="K547" s="7">
        <v>0</v>
      </c>
      <c r="L547" s="7">
        <v>27719.67</v>
      </c>
      <c r="M547" t="s">
        <v>1213</v>
      </c>
      <c r="N547" t="s">
        <v>55</v>
      </c>
      <c r="O547">
        <v>29</v>
      </c>
      <c r="P547" s="5" t="s">
        <v>1364</v>
      </c>
    </row>
    <row r="548" spans="1:16">
      <c r="A548" s="4">
        <v>46245</v>
      </c>
      <c r="B548" t="s">
        <v>1365</v>
      </c>
      <c r="C548" s="5" t="s">
        <v>1366</v>
      </c>
      <c r="D548" t="s">
        <v>466</v>
      </c>
      <c r="E548" t="s">
        <v>8</v>
      </c>
      <c r="F548" t="s">
        <v>26</v>
      </c>
      <c r="G548" t="s">
        <v>35</v>
      </c>
      <c r="H548" s="5" t="s">
        <v>467</v>
      </c>
      <c r="I548" s="7">
        <v>-17.75</v>
      </c>
      <c r="J548" s="7">
        <v>17.75</v>
      </c>
      <c r="K548" s="7">
        <v>0</v>
      </c>
      <c r="L548" s="7">
        <v>27701.92</v>
      </c>
      <c r="M548" t="s">
        <v>1213</v>
      </c>
      <c r="N548" t="s">
        <v>55</v>
      </c>
      <c r="O548">
        <v>29</v>
      </c>
      <c r="P548" s="5" t="s">
        <v>1367</v>
      </c>
    </row>
    <row r="549" spans="1:16">
      <c r="A549" s="4">
        <v>46245</v>
      </c>
      <c r="B549" t="s">
        <v>1368</v>
      </c>
      <c r="C549" s="5" t="s">
        <v>1354</v>
      </c>
      <c r="D549" t="s">
        <v>1369</v>
      </c>
      <c r="E549" t="s">
        <v>3</v>
      </c>
      <c r="F549" t="s">
        <v>26</v>
      </c>
      <c r="G549" t="s">
        <v>35</v>
      </c>
      <c r="H549" s="5" t="s">
        <v>295</v>
      </c>
      <c r="I549" s="7">
        <v>-70.81999999999999</v>
      </c>
      <c r="J549" s="7">
        <v>70.81999999999999</v>
      </c>
      <c r="K549" s="7">
        <v>0</v>
      </c>
      <c r="L549" s="7">
        <v>27631.1</v>
      </c>
      <c r="M549" t="s">
        <v>1213</v>
      </c>
      <c r="N549" t="s">
        <v>55</v>
      </c>
      <c r="O549">
        <v>29</v>
      </c>
      <c r="P549" s="5" t="s">
        <v>1370</v>
      </c>
    </row>
    <row r="550" spans="1:16">
      <c r="A550" s="4">
        <v>46245</v>
      </c>
      <c r="B550" t="s">
        <v>1371</v>
      </c>
      <c r="C550" s="5" t="s">
        <v>1366</v>
      </c>
      <c r="D550" t="s">
        <v>1372</v>
      </c>
      <c r="E550" t="s">
        <v>17</v>
      </c>
      <c r="F550" t="s">
        <v>29</v>
      </c>
      <c r="G550" s="8" t="s">
        <v>36</v>
      </c>
      <c r="H550" s="5"/>
      <c r="I550" s="7">
        <v>-5.38</v>
      </c>
      <c r="J550" s="7">
        <v>5.38</v>
      </c>
      <c r="K550" s="7">
        <v>0</v>
      </c>
      <c r="L550" s="7">
        <v>27625.72</v>
      </c>
      <c r="M550" t="s">
        <v>1213</v>
      </c>
      <c r="N550" t="s">
        <v>55</v>
      </c>
      <c r="O550">
        <v>29</v>
      </c>
      <c r="P550" s="5" t="s">
        <v>1373</v>
      </c>
    </row>
    <row r="551" spans="1:16">
      <c r="A551" s="4">
        <v>46245</v>
      </c>
      <c r="B551" t="s">
        <v>200</v>
      </c>
      <c r="C551" s="5" t="s">
        <v>1366</v>
      </c>
      <c r="D551" t="s">
        <v>202</v>
      </c>
      <c r="E551" t="s">
        <v>3</v>
      </c>
      <c r="F551" t="s">
        <v>26</v>
      </c>
      <c r="G551" t="s">
        <v>35</v>
      </c>
      <c r="H551" s="5" t="s">
        <v>203</v>
      </c>
      <c r="I551" s="7">
        <v>-61</v>
      </c>
      <c r="J551" s="7">
        <v>61</v>
      </c>
      <c r="K551" s="7">
        <v>0</v>
      </c>
      <c r="L551" s="7">
        <v>27564.72</v>
      </c>
      <c r="M551" t="s">
        <v>1213</v>
      </c>
      <c r="N551" t="s">
        <v>55</v>
      </c>
      <c r="O551">
        <v>29</v>
      </c>
      <c r="P551" s="5" t="s">
        <v>1374</v>
      </c>
    </row>
    <row r="552" spans="1:16">
      <c r="A552" s="4">
        <v>46245</v>
      </c>
      <c r="B552" t="s">
        <v>200</v>
      </c>
      <c r="C552" s="5" t="s">
        <v>1366</v>
      </c>
      <c r="D552" t="s">
        <v>202</v>
      </c>
      <c r="E552" t="s">
        <v>3</v>
      </c>
      <c r="F552" t="s">
        <v>26</v>
      </c>
      <c r="G552" t="s">
        <v>35</v>
      </c>
      <c r="H552" s="5" t="s">
        <v>203</v>
      </c>
      <c r="I552" s="7">
        <v>-6</v>
      </c>
      <c r="J552" s="7">
        <v>6</v>
      </c>
      <c r="K552" s="7">
        <v>0</v>
      </c>
      <c r="L552" s="7">
        <v>27558.72</v>
      </c>
      <c r="M552" t="s">
        <v>1213</v>
      </c>
      <c r="N552" t="s">
        <v>55</v>
      </c>
      <c r="O552">
        <v>29</v>
      </c>
      <c r="P552" s="5" t="s">
        <v>1375</v>
      </c>
    </row>
    <row r="553" spans="1:16">
      <c r="A553" s="4">
        <v>46245</v>
      </c>
      <c r="B553" t="s">
        <v>1376</v>
      </c>
      <c r="C553" s="5" t="s">
        <v>1377</v>
      </c>
      <c r="D553" t="s">
        <v>1378</v>
      </c>
      <c r="E553" t="s">
        <v>21</v>
      </c>
      <c r="F553" t="s">
        <v>31</v>
      </c>
      <c r="G553" t="s">
        <v>37</v>
      </c>
      <c r="H553" s="5"/>
      <c r="I553" s="7">
        <v>97.31</v>
      </c>
      <c r="J553" s="7">
        <v>0</v>
      </c>
      <c r="K553" s="7">
        <v>97.31</v>
      </c>
      <c r="L553" s="7">
        <v>27656.03</v>
      </c>
      <c r="M553" t="s">
        <v>1213</v>
      </c>
      <c r="N553" t="s">
        <v>55</v>
      </c>
      <c r="O553">
        <v>29</v>
      </c>
      <c r="P553" s="5" t="s">
        <v>1379</v>
      </c>
    </row>
    <row r="554" spans="1:16">
      <c r="A554" s="4">
        <v>46245</v>
      </c>
      <c r="B554" t="s">
        <v>1380</v>
      </c>
      <c r="C554" s="5" t="s">
        <v>1381</v>
      </c>
      <c r="D554" t="s">
        <v>1382</v>
      </c>
      <c r="E554" t="s">
        <v>3</v>
      </c>
      <c r="F554" t="s">
        <v>26</v>
      </c>
      <c r="G554" t="s">
        <v>35</v>
      </c>
      <c r="H554" s="5" t="s">
        <v>207</v>
      </c>
      <c r="I554" s="7">
        <v>-35.04</v>
      </c>
      <c r="J554" s="7">
        <v>35.04</v>
      </c>
      <c r="K554" s="7">
        <v>0</v>
      </c>
      <c r="L554" s="7">
        <v>27620.99</v>
      </c>
      <c r="M554" t="s">
        <v>1213</v>
      </c>
      <c r="N554" t="s">
        <v>55</v>
      </c>
      <c r="O554">
        <v>29</v>
      </c>
      <c r="P554" s="5" t="s">
        <v>1383</v>
      </c>
    </row>
    <row r="555" spans="1:16">
      <c r="A555" s="4">
        <v>46245</v>
      </c>
      <c r="B555" t="s">
        <v>1384</v>
      </c>
      <c r="C555" s="5" t="s">
        <v>1381</v>
      </c>
      <c r="D555" t="s">
        <v>233</v>
      </c>
      <c r="E555" t="s">
        <v>17</v>
      </c>
      <c r="F555" t="s">
        <v>29</v>
      </c>
      <c r="G555" s="8" t="s">
        <v>36</v>
      </c>
      <c r="H555" s="5"/>
      <c r="I555" s="7">
        <v>-10.2</v>
      </c>
      <c r="J555" s="7">
        <v>10.2</v>
      </c>
      <c r="K555" s="7">
        <v>0</v>
      </c>
      <c r="L555" s="7">
        <v>27610.79</v>
      </c>
      <c r="M555" t="s">
        <v>1213</v>
      </c>
      <c r="N555" t="s">
        <v>55</v>
      </c>
      <c r="O555">
        <v>29</v>
      </c>
      <c r="P555" s="5" t="s">
        <v>1385</v>
      </c>
    </row>
    <row r="556" spans="1:16">
      <c r="A556" s="4">
        <v>46245</v>
      </c>
      <c r="B556" t="s">
        <v>81</v>
      </c>
      <c r="C556" s="5" t="s">
        <v>1381</v>
      </c>
      <c r="D556" t="s">
        <v>83</v>
      </c>
      <c r="E556" t="s">
        <v>2</v>
      </c>
      <c r="F556" t="s">
        <v>25</v>
      </c>
      <c r="G556" t="s">
        <v>35</v>
      </c>
      <c r="H556" s="5" t="s">
        <v>84</v>
      </c>
      <c r="I556" s="7">
        <v>-63.85</v>
      </c>
      <c r="J556" s="7">
        <v>63.85</v>
      </c>
      <c r="K556" s="7">
        <v>0</v>
      </c>
      <c r="L556" s="7">
        <v>27546.94</v>
      </c>
      <c r="M556" t="s">
        <v>1213</v>
      </c>
      <c r="N556" t="s">
        <v>55</v>
      </c>
      <c r="O556">
        <v>29</v>
      </c>
      <c r="P556" s="5" t="s">
        <v>1386</v>
      </c>
    </row>
    <row r="557" spans="1:16">
      <c r="A557" s="4">
        <v>46245</v>
      </c>
      <c r="B557" t="s">
        <v>966</v>
      </c>
      <c r="C557" s="5" t="s">
        <v>1387</v>
      </c>
      <c r="D557" t="s">
        <v>100</v>
      </c>
      <c r="E557" t="s">
        <v>5</v>
      </c>
      <c r="F557" t="s">
        <v>25</v>
      </c>
      <c r="G557" t="s">
        <v>33</v>
      </c>
      <c r="H557" s="5" t="s">
        <v>968</v>
      </c>
      <c r="I557" s="7">
        <v>-4.03</v>
      </c>
      <c r="J557" s="7">
        <v>4.03</v>
      </c>
      <c r="K557" s="7">
        <v>0</v>
      </c>
      <c r="L557" s="7">
        <v>27542.91</v>
      </c>
      <c r="M557" t="s">
        <v>1213</v>
      </c>
      <c r="N557" t="s">
        <v>55</v>
      </c>
      <c r="O557">
        <v>29</v>
      </c>
      <c r="P557" s="5" t="s">
        <v>1388</v>
      </c>
    </row>
    <row r="558" spans="1:16">
      <c r="A558" s="4">
        <v>46245</v>
      </c>
      <c r="B558" t="s">
        <v>149</v>
      </c>
      <c r="C558" s="5" t="s">
        <v>1389</v>
      </c>
      <c r="D558" t="s">
        <v>150</v>
      </c>
      <c r="E558" t="s">
        <v>3</v>
      </c>
      <c r="F558" t="s">
        <v>26</v>
      </c>
      <c r="G558" s="6" t="s">
        <v>34</v>
      </c>
      <c r="H558" s="5" t="s">
        <v>151</v>
      </c>
      <c r="I558" s="7">
        <v>-6.07</v>
      </c>
      <c r="J558" s="7">
        <v>6.07</v>
      </c>
      <c r="K558" s="7">
        <v>0</v>
      </c>
      <c r="L558" s="7">
        <v>27536.84</v>
      </c>
      <c r="M558" t="s">
        <v>1213</v>
      </c>
      <c r="N558" t="s">
        <v>55</v>
      </c>
      <c r="O558">
        <v>29</v>
      </c>
      <c r="P558" s="5" t="s">
        <v>1390</v>
      </c>
    </row>
    <row r="559" spans="1:16">
      <c r="A559" s="4">
        <v>46245</v>
      </c>
      <c r="B559" t="s">
        <v>1362</v>
      </c>
      <c r="C559" s="5" t="s">
        <v>1387</v>
      </c>
      <c r="D559" t="s">
        <v>1363</v>
      </c>
      <c r="E559" t="s">
        <v>17</v>
      </c>
      <c r="F559" t="s">
        <v>29</v>
      </c>
      <c r="G559" s="8" t="s">
        <v>36</v>
      </c>
      <c r="H559" s="5"/>
      <c r="I559" s="7">
        <v>-21.5</v>
      </c>
      <c r="J559" s="7">
        <v>21.5</v>
      </c>
      <c r="K559" s="7">
        <v>0</v>
      </c>
      <c r="L559" s="7">
        <v>27515.34</v>
      </c>
      <c r="M559" t="s">
        <v>1213</v>
      </c>
      <c r="N559" t="s">
        <v>55</v>
      </c>
      <c r="O559">
        <v>29</v>
      </c>
      <c r="P559" s="5" t="s">
        <v>1391</v>
      </c>
    </row>
    <row r="560" spans="1:16">
      <c r="A560" s="4">
        <v>46245</v>
      </c>
      <c r="B560" t="s">
        <v>1392</v>
      </c>
      <c r="C560" s="5" t="s">
        <v>1389</v>
      </c>
      <c r="D560" t="s">
        <v>1393</v>
      </c>
      <c r="E560" t="s">
        <v>3</v>
      </c>
      <c r="F560" t="s">
        <v>26</v>
      </c>
      <c r="G560" s="6" t="s">
        <v>34</v>
      </c>
      <c r="H560" s="5" t="s">
        <v>1394</v>
      </c>
      <c r="I560" s="7">
        <v>-4.05</v>
      </c>
      <c r="J560" s="7">
        <v>4.05</v>
      </c>
      <c r="K560" s="7">
        <v>0</v>
      </c>
      <c r="L560" s="7">
        <v>27511.29</v>
      </c>
      <c r="M560" t="s">
        <v>1213</v>
      </c>
      <c r="N560" t="s">
        <v>55</v>
      </c>
      <c r="O560">
        <v>29</v>
      </c>
      <c r="P560" s="5" t="s">
        <v>1395</v>
      </c>
    </row>
    <row r="561" spans="1:16">
      <c r="A561" s="4">
        <v>46245</v>
      </c>
      <c r="B561" t="s">
        <v>1396</v>
      </c>
      <c r="C561" s="5"/>
      <c r="D561" t="s">
        <v>1397</v>
      </c>
      <c r="E561" t="s">
        <v>17</v>
      </c>
      <c r="F561" t="s">
        <v>29</v>
      </c>
      <c r="G561" s="8" t="s">
        <v>36</v>
      </c>
      <c r="H561" s="5"/>
      <c r="I561" s="7">
        <v>-15</v>
      </c>
      <c r="J561" s="7">
        <v>15</v>
      </c>
      <c r="K561" s="7">
        <v>0</v>
      </c>
      <c r="L561" s="7">
        <v>27496.29</v>
      </c>
      <c r="M561" t="s">
        <v>1213</v>
      </c>
      <c r="N561" t="s">
        <v>55</v>
      </c>
      <c r="O561">
        <v>29</v>
      </c>
      <c r="P561" s="5" t="s">
        <v>1398</v>
      </c>
    </row>
    <row r="562" spans="1:16">
      <c r="A562" s="4">
        <v>46245</v>
      </c>
      <c r="B562" t="s">
        <v>1396</v>
      </c>
      <c r="C562" s="5"/>
      <c r="D562" t="s">
        <v>1397</v>
      </c>
      <c r="E562" t="s">
        <v>17</v>
      </c>
      <c r="F562" t="s">
        <v>29</v>
      </c>
      <c r="G562" s="8" t="s">
        <v>36</v>
      </c>
      <c r="H562" s="5"/>
      <c r="I562" s="7">
        <v>-7</v>
      </c>
      <c r="J562" s="7">
        <v>7</v>
      </c>
      <c r="K562" s="7">
        <v>0</v>
      </c>
      <c r="L562" s="7">
        <v>27489.29</v>
      </c>
      <c r="M562" t="s">
        <v>1213</v>
      </c>
      <c r="N562" t="s">
        <v>55</v>
      </c>
      <c r="O562">
        <v>29</v>
      </c>
      <c r="P562" s="5" t="s">
        <v>1399</v>
      </c>
    </row>
    <row r="563" spans="1:16">
      <c r="A563" s="4">
        <v>46246</v>
      </c>
      <c r="B563" t="s">
        <v>280</v>
      </c>
      <c r="C563" s="5" t="s">
        <v>1400</v>
      </c>
      <c r="D563" t="s">
        <v>282</v>
      </c>
      <c r="E563" t="s">
        <v>8</v>
      </c>
      <c r="F563" t="s">
        <v>26</v>
      </c>
      <c r="G563" t="s">
        <v>35</v>
      </c>
      <c r="H563" s="5" t="s">
        <v>176</v>
      </c>
      <c r="I563" s="7">
        <v>-67.12</v>
      </c>
      <c r="J563" s="7">
        <v>67.12</v>
      </c>
      <c r="K563" s="7">
        <v>0</v>
      </c>
      <c r="L563" s="7">
        <v>27422.17</v>
      </c>
      <c r="M563" t="s">
        <v>1213</v>
      </c>
      <c r="N563" t="s">
        <v>55</v>
      </c>
      <c r="O563">
        <v>30</v>
      </c>
      <c r="P563" s="5" t="s">
        <v>1401</v>
      </c>
    </row>
    <row r="564" spans="1:16">
      <c r="A564" s="4">
        <v>46246</v>
      </c>
      <c r="B564" t="s">
        <v>280</v>
      </c>
      <c r="C564" s="5" t="s">
        <v>1400</v>
      </c>
      <c r="D564" t="s">
        <v>282</v>
      </c>
      <c r="E564" t="s">
        <v>8</v>
      </c>
      <c r="F564" t="s">
        <v>26</v>
      </c>
      <c r="G564" t="s">
        <v>35</v>
      </c>
      <c r="H564" s="5" t="s">
        <v>176</v>
      </c>
      <c r="I564" s="7">
        <v>-24.94</v>
      </c>
      <c r="J564" s="7">
        <v>24.94</v>
      </c>
      <c r="K564" s="7">
        <v>0</v>
      </c>
      <c r="L564" s="7">
        <v>27397.23</v>
      </c>
      <c r="M564" t="s">
        <v>1213</v>
      </c>
      <c r="N564" t="s">
        <v>55</v>
      </c>
      <c r="O564">
        <v>30</v>
      </c>
      <c r="P564" s="5" t="s">
        <v>1402</v>
      </c>
    </row>
    <row r="565" spans="1:16">
      <c r="A565" s="4">
        <v>46246</v>
      </c>
      <c r="B565" t="s">
        <v>280</v>
      </c>
      <c r="C565" s="5" t="s">
        <v>1400</v>
      </c>
      <c r="D565" t="s">
        <v>282</v>
      </c>
      <c r="E565" t="s">
        <v>8</v>
      </c>
      <c r="F565" t="s">
        <v>26</v>
      </c>
      <c r="G565" t="s">
        <v>35</v>
      </c>
      <c r="H565" s="5" t="s">
        <v>176</v>
      </c>
      <c r="I565" s="7">
        <v>-22.45</v>
      </c>
      <c r="J565" s="7">
        <v>22.45</v>
      </c>
      <c r="K565" s="7">
        <v>0</v>
      </c>
      <c r="L565" s="7">
        <v>27374.78</v>
      </c>
      <c r="M565" t="s">
        <v>1213</v>
      </c>
      <c r="N565" t="s">
        <v>55</v>
      </c>
      <c r="O565">
        <v>30</v>
      </c>
      <c r="P565" s="5" t="s">
        <v>1403</v>
      </c>
    </row>
    <row r="566" spans="1:16">
      <c r="A566" s="4">
        <v>46246</v>
      </c>
      <c r="B566" t="s">
        <v>1392</v>
      </c>
      <c r="C566" s="5" t="s">
        <v>1404</v>
      </c>
      <c r="D566" t="s">
        <v>1393</v>
      </c>
      <c r="E566" t="s">
        <v>3</v>
      </c>
      <c r="F566" t="s">
        <v>26</v>
      </c>
      <c r="G566" s="6" t="s">
        <v>34</v>
      </c>
      <c r="H566" s="5" t="s">
        <v>1394</v>
      </c>
      <c r="I566" s="7">
        <v>-4.45</v>
      </c>
      <c r="J566" s="7">
        <v>4.45</v>
      </c>
      <c r="K566" s="7">
        <v>0</v>
      </c>
      <c r="L566" s="7">
        <v>27370.33</v>
      </c>
      <c r="M566" t="s">
        <v>1213</v>
      </c>
      <c r="N566" t="s">
        <v>55</v>
      </c>
      <c r="O566">
        <v>30</v>
      </c>
      <c r="P566" s="5" t="s">
        <v>1405</v>
      </c>
    </row>
    <row r="567" spans="1:16">
      <c r="A567" s="4">
        <v>46246</v>
      </c>
      <c r="B567" t="s">
        <v>1392</v>
      </c>
      <c r="C567" s="5" t="s">
        <v>1406</v>
      </c>
      <c r="D567" t="s">
        <v>1393</v>
      </c>
      <c r="E567" t="s">
        <v>3</v>
      </c>
      <c r="F567" t="s">
        <v>26</v>
      </c>
      <c r="G567" s="6" t="s">
        <v>34</v>
      </c>
      <c r="H567" s="5" t="s">
        <v>1394</v>
      </c>
      <c r="I567" s="7">
        <v>-9.109999999999999</v>
      </c>
      <c r="J567" s="7">
        <v>9.109999999999999</v>
      </c>
      <c r="K567" s="7">
        <v>0</v>
      </c>
      <c r="L567" s="7">
        <v>27361.22</v>
      </c>
      <c r="M567" t="s">
        <v>1213</v>
      </c>
      <c r="N567" t="s">
        <v>55</v>
      </c>
      <c r="O567">
        <v>30</v>
      </c>
      <c r="P567" s="5" t="s">
        <v>1407</v>
      </c>
    </row>
    <row r="568" spans="1:16">
      <c r="A568" s="4">
        <v>46246</v>
      </c>
      <c r="B568" t="s">
        <v>288</v>
      </c>
      <c r="C568" s="5" t="s">
        <v>1387</v>
      </c>
      <c r="D568" t="s">
        <v>289</v>
      </c>
      <c r="E568" t="s">
        <v>4</v>
      </c>
      <c r="F568" t="s">
        <v>25</v>
      </c>
      <c r="G568" t="s">
        <v>35</v>
      </c>
      <c r="H568" s="5" t="s">
        <v>290</v>
      </c>
      <c r="I568" s="7">
        <v>-73.98999999999999</v>
      </c>
      <c r="J568" s="7">
        <v>73.98999999999999</v>
      </c>
      <c r="K568" s="7">
        <v>0</v>
      </c>
      <c r="L568" s="7">
        <v>27287.23</v>
      </c>
      <c r="M568" t="s">
        <v>1213</v>
      </c>
      <c r="N568" t="s">
        <v>55</v>
      </c>
      <c r="O568">
        <v>30</v>
      </c>
      <c r="P568" s="5" t="s">
        <v>1408</v>
      </c>
    </row>
    <row r="569" spans="1:16">
      <c r="A569" s="4">
        <v>46246</v>
      </c>
      <c r="B569" t="s">
        <v>384</v>
      </c>
      <c r="C569" s="5" t="s">
        <v>1406</v>
      </c>
      <c r="D569" t="s">
        <v>385</v>
      </c>
      <c r="E569" t="s">
        <v>3</v>
      </c>
      <c r="F569" t="s">
        <v>26</v>
      </c>
      <c r="G569" t="s">
        <v>35</v>
      </c>
      <c r="H569" s="5" t="s">
        <v>93</v>
      </c>
      <c r="I569" s="7">
        <v>-27.1</v>
      </c>
      <c r="J569" s="7">
        <v>27.1</v>
      </c>
      <c r="K569" s="7">
        <v>0</v>
      </c>
      <c r="L569" s="7">
        <v>27260.13</v>
      </c>
      <c r="M569" t="s">
        <v>1213</v>
      </c>
      <c r="N569" t="s">
        <v>55</v>
      </c>
      <c r="O569">
        <v>30</v>
      </c>
      <c r="P569" s="5" t="s">
        <v>1409</v>
      </c>
    </row>
    <row r="570" spans="1:16">
      <c r="A570" s="4">
        <v>46246</v>
      </c>
      <c r="B570" t="s">
        <v>1410</v>
      </c>
      <c r="C570" s="5"/>
      <c r="D570" t="s">
        <v>1411</v>
      </c>
      <c r="E570" t="s">
        <v>5</v>
      </c>
      <c r="F570" t="s">
        <v>27</v>
      </c>
      <c r="G570" t="s">
        <v>33</v>
      </c>
      <c r="H570" s="5" t="s">
        <v>1412</v>
      </c>
      <c r="I570" s="7">
        <v>-100</v>
      </c>
      <c r="J570" s="7">
        <v>100</v>
      </c>
      <c r="K570" s="7">
        <v>0</v>
      </c>
      <c r="L570" s="7">
        <v>27160.13</v>
      </c>
      <c r="M570" t="s">
        <v>1213</v>
      </c>
      <c r="N570" t="s">
        <v>55</v>
      </c>
      <c r="O570">
        <v>30</v>
      </c>
      <c r="P570" s="5" t="s">
        <v>1413</v>
      </c>
    </row>
    <row r="571" spans="1:16">
      <c r="A571" s="4">
        <v>46246</v>
      </c>
      <c r="B571" t="s">
        <v>133</v>
      </c>
      <c r="C571" s="5"/>
      <c r="D571" t="s">
        <v>83</v>
      </c>
      <c r="E571" t="s">
        <v>2</v>
      </c>
      <c r="F571" t="s">
        <v>25</v>
      </c>
      <c r="G571" t="s">
        <v>35</v>
      </c>
      <c r="H571" s="5" t="s">
        <v>84</v>
      </c>
      <c r="I571" s="7">
        <v>-7.8</v>
      </c>
      <c r="J571" s="7">
        <v>7.8</v>
      </c>
      <c r="K571" s="7">
        <v>0</v>
      </c>
      <c r="L571" s="7">
        <v>27152.33</v>
      </c>
      <c r="M571" t="s">
        <v>1213</v>
      </c>
      <c r="N571" t="s">
        <v>55</v>
      </c>
      <c r="O571">
        <v>30</v>
      </c>
      <c r="P571" s="5" t="s">
        <v>1414</v>
      </c>
    </row>
    <row r="572" spans="1:16">
      <c r="A572" s="4">
        <v>46246</v>
      </c>
      <c r="B572" t="s">
        <v>138</v>
      </c>
      <c r="C572" s="5" t="s">
        <v>1415</v>
      </c>
      <c r="D572" t="s">
        <v>138</v>
      </c>
      <c r="E572" t="s">
        <v>6</v>
      </c>
      <c r="F572" t="s">
        <v>26</v>
      </c>
      <c r="G572" t="s">
        <v>35</v>
      </c>
      <c r="H572" s="5" t="s">
        <v>140</v>
      </c>
      <c r="I572" s="7">
        <v>-68</v>
      </c>
      <c r="J572" s="7">
        <v>68</v>
      </c>
      <c r="K572" s="7">
        <v>0</v>
      </c>
      <c r="L572" s="7">
        <v>27084.33</v>
      </c>
      <c r="M572" t="s">
        <v>1213</v>
      </c>
      <c r="N572" t="s">
        <v>55</v>
      </c>
      <c r="O572">
        <v>30</v>
      </c>
      <c r="P572" s="5" t="s">
        <v>1416</v>
      </c>
    </row>
    <row r="573" spans="1:16">
      <c r="A573" s="4">
        <v>46247</v>
      </c>
      <c r="B573" t="s">
        <v>1417</v>
      </c>
      <c r="C573" s="5" t="s">
        <v>1404</v>
      </c>
      <c r="D573" t="s">
        <v>1418</v>
      </c>
      <c r="E573" t="s">
        <v>3</v>
      </c>
      <c r="F573" t="s">
        <v>26</v>
      </c>
      <c r="G573" t="s">
        <v>35</v>
      </c>
      <c r="H573" s="5" t="s">
        <v>768</v>
      </c>
      <c r="I573" s="7">
        <v>-9.140000000000001</v>
      </c>
      <c r="J573" s="7">
        <v>9.140000000000001</v>
      </c>
      <c r="K573" s="7">
        <v>0</v>
      </c>
      <c r="L573" s="7">
        <v>27075.19</v>
      </c>
      <c r="M573" t="s">
        <v>1213</v>
      </c>
      <c r="N573" t="s">
        <v>55</v>
      </c>
      <c r="O573">
        <v>30</v>
      </c>
      <c r="P573" s="5" t="s">
        <v>1419</v>
      </c>
    </row>
    <row r="574" spans="1:16">
      <c r="A574" s="4">
        <v>46247</v>
      </c>
      <c r="B574" t="s">
        <v>258</v>
      </c>
      <c r="C574" s="5" t="s">
        <v>1404</v>
      </c>
      <c r="D574" t="s">
        <v>259</v>
      </c>
      <c r="E574" t="s">
        <v>2</v>
      </c>
      <c r="F574" t="s">
        <v>25</v>
      </c>
      <c r="G574" t="s">
        <v>35</v>
      </c>
      <c r="H574" s="5" t="s">
        <v>260</v>
      </c>
      <c r="I574" s="7">
        <v>-8.550000000000001</v>
      </c>
      <c r="J574" s="7">
        <v>8.550000000000001</v>
      </c>
      <c r="K574" s="7">
        <v>0</v>
      </c>
      <c r="L574" s="7">
        <v>27066.64</v>
      </c>
      <c r="M574" t="s">
        <v>1213</v>
      </c>
      <c r="N574" t="s">
        <v>55</v>
      </c>
      <c r="O574">
        <v>30</v>
      </c>
      <c r="P574" s="5" t="s">
        <v>1420</v>
      </c>
    </row>
    <row r="575" spans="1:16">
      <c r="A575" s="4">
        <v>46247</v>
      </c>
      <c r="B575" t="s">
        <v>160</v>
      </c>
      <c r="C575" s="5"/>
      <c r="D575" t="s">
        <v>161</v>
      </c>
      <c r="E575" t="s">
        <v>1</v>
      </c>
      <c r="F575" t="s">
        <v>25</v>
      </c>
      <c r="G575" t="s">
        <v>35</v>
      </c>
      <c r="H575" s="5" t="s">
        <v>162</v>
      </c>
      <c r="I575" s="7">
        <v>-1720</v>
      </c>
      <c r="J575" s="7">
        <v>1720</v>
      </c>
      <c r="K575" s="7">
        <v>0</v>
      </c>
      <c r="L575" s="7">
        <v>25346.64</v>
      </c>
      <c r="M575" t="s">
        <v>1213</v>
      </c>
      <c r="N575" t="s">
        <v>55</v>
      </c>
      <c r="O575">
        <v>30</v>
      </c>
      <c r="P575" s="5" t="s">
        <v>1421</v>
      </c>
    </row>
    <row r="576" spans="1:16">
      <c r="A576" s="4">
        <v>46248</v>
      </c>
      <c r="B576" t="s">
        <v>81</v>
      </c>
      <c r="C576" s="5" t="s">
        <v>1422</v>
      </c>
      <c r="D576" t="s">
        <v>83</v>
      </c>
      <c r="E576" t="s">
        <v>2</v>
      </c>
      <c r="F576" t="s">
        <v>25</v>
      </c>
      <c r="G576" t="s">
        <v>35</v>
      </c>
      <c r="H576" s="5" t="s">
        <v>84</v>
      </c>
      <c r="I576" s="7">
        <v>-36.7</v>
      </c>
      <c r="J576" s="7">
        <v>36.7</v>
      </c>
      <c r="K576" s="7">
        <v>0</v>
      </c>
      <c r="L576" s="7">
        <v>25309.94</v>
      </c>
      <c r="M576" t="s">
        <v>1213</v>
      </c>
      <c r="N576" t="s">
        <v>55</v>
      </c>
      <c r="O576">
        <v>30</v>
      </c>
      <c r="P576" s="5" t="s">
        <v>1423</v>
      </c>
    </row>
    <row r="577" spans="1:16">
      <c r="A577" s="4">
        <v>46248</v>
      </c>
      <c r="B577" t="s">
        <v>966</v>
      </c>
      <c r="C577" s="5" t="s">
        <v>1424</v>
      </c>
      <c r="D577" t="s">
        <v>100</v>
      </c>
      <c r="E577" t="s">
        <v>5</v>
      </c>
      <c r="F577" t="s">
        <v>25</v>
      </c>
      <c r="G577" t="s">
        <v>33</v>
      </c>
      <c r="H577" s="5" t="s">
        <v>968</v>
      </c>
      <c r="I577" s="7">
        <v>-4.03</v>
      </c>
      <c r="J577" s="7">
        <v>4.03</v>
      </c>
      <c r="K577" s="7">
        <v>0</v>
      </c>
      <c r="L577" s="7">
        <v>25305.91</v>
      </c>
      <c r="M577" t="s">
        <v>1213</v>
      </c>
      <c r="N577" t="s">
        <v>55</v>
      </c>
      <c r="O577">
        <v>30</v>
      </c>
      <c r="P577" s="5" t="s">
        <v>1425</v>
      </c>
    </row>
    <row r="578" spans="1:16">
      <c r="A578" s="4">
        <v>46248</v>
      </c>
      <c r="B578" t="s">
        <v>1392</v>
      </c>
      <c r="C578" s="5" t="s">
        <v>1426</v>
      </c>
      <c r="D578" t="s">
        <v>1393</v>
      </c>
      <c r="E578" t="s">
        <v>3</v>
      </c>
      <c r="F578" t="s">
        <v>26</v>
      </c>
      <c r="G578" s="6" t="s">
        <v>34</v>
      </c>
      <c r="H578" s="5" t="s">
        <v>1394</v>
      </c>
      <c r="I578" s="7">
        <v>-4.05</v>
      </c>
      <c r="J578" s="7">
        <v>4.05</v>
      </c>
      <c r="K578" s="7">
        <v>0</v>
      </c>
      <c r="L578" s="7">
        <v>25301.86</v>
      </c>
      <c r="M578" t="s">
        <v>1213</v>
      </c>
      <c r="N578" t="s">
        <v>55</v>
      </c>
      <c r="O578">
        <v>30</v>
      </c>
      <c r="P578" s="5" t="s">
        <v>1427</v>
      </c>
    </row>
    <row r="579" spans="1:16">
      <c r="A579" s="4">
        <v>46248</v>
      </c>
      <c r="B579" t="s">
        <v>1392</v>
      </c>
      <c r="C579" s="5" t="s">
        <v>1424</v>
      </c>
      <c r="D579" t="s">
        <v>1393</v>
      </c>
      <c r="E579" t="s">
        <v>3</v>
      </c>
      <c r="F579" t="s">
        <v>26</v>
      </c>
      <c r="G579" s="6" t="s">
        <v>34</v>
      </c>
      <c r="H579" s="5" t="s">
        <v>1394</v>
      </c>
      <c r="I579" s="7">
        <v>-4.05</v>
      </c>
      <c r="J579" s="7">
        <v>4.05</v>
      </c>
      <c r="K579" s="7">
        <v>0</v>
      </c>
      <c r="L579" s="7">
        <v>25297.81</v>
      </c>
      <c r="M579" t="s">
        <v>1213</v>
      </c>
      <c r="N579" t="s">
        <v>55</v>
      </c>
      <c r="O579">
        <v>30</v>
      </c>
      <c r="P579" s="5" t="s">
        <v>1428</v>
      </c>
    </row>
    <row r="580" spans="1:16">
      <c r="A580" s="4">
        <v>46248</v>
      </c>
      <c r="B580" t="s">
        <v>1429</v>
      </c>
      <c r="C580" s="5"/>
      <c r="D580" t="s">
        <v>1430</v>
      </c>
      <c r="E580" t="s">
        <v>17</v>
      </c>
      <c r="F580" t="s">
        <v>29</v>
      </c>
      <c r="G580" s="8" t="s">
        <v>36</v>
      </c>
      <c r="H580" s="5"/>
      <c r="I580" s="7">
        <v>-21.5</v>
      </c>
      <c r="J580" s="7">
        <v>21.5</v>
      </c>
      <c r="K580" s="7">
        <v>0</v>
      </c>
      <c r="L580" s="7">
        <v>25276.31</v>
      </c>
      <c r="M580" t="s">
        <v>1213</v>
      </c>
      <c r="N580" t="s">
        <v>55</v>
      </c>
      <c r="O580">
        <v>31</v>
      </c>
      <c r="P580" s="5" t="s">
        <v>1431</v>
      </c>
    </row>
    <row r="581" spans="1:16">
      <c r="A581" s="4">
        <v>46248</v>
      </c>
      <c r="B581" t="s">
        <v>1432</v>
      </c>
      <c r="C581" s="5"/>
      <c r="D581" t="s">
        <v>1433</v>
      </c>
      <c r="E581" t="s">
        <v>7</v>
      </c>
      <c r="F581" t="s">
        <v>25</v>
      </c>
      <c r="G581" t="s">
        <v>35</v>
      </c>
      <c r="H581" s="5" t="s">
        <v>1434</v>
      </c>
      <c r="I581" s="7">
        <v>-90</v>
      </c>
      <c r="J581" s="7">
        <v>90</v>
      </c>
      <c r="K581" s="7">
        <v>0</v>
      </c>
      <c r="L581" s="7">
        <v>25186.31</v>
      </c>
      <c r="M581" t="s">
        <v>1213</v>
      </c>
      <c r="N581" t="s">
        <v>55</v>
      </c>
      <c r="O581">
        <v>31</v>
      </c>
      <c r="P581" s="5" t="s">
        <v>1435</v>
      </c>
    </row>
    <row r="582" spans="1:16">
      <c r="A582" s="4">
        <v>46248</v>
      </c>
      <c r="B582" t="s">
        <v>744</v>
      </c>
      <c r="C582" s="5"/>
      <c r="D582" t="s">
        <v>744</v>
      </c>
      <c r="E582" t="s">
        <v>8</v>
      </c>
      <c r="F582" t="s">
        <v>26</v>
      </c>
      <c r="G582" t="s">
        <v>35</v>
      </c>
      <c r="H582" s="5" t="s">
        <v>745</v>
      </c>
      <c r="I582" s="7">
        <v>-39.47</v>
      </c>
      <c r="J582" s="7">
        <v>39.47</v>
      </c>
      <c r="K582" s="7">
        <v>0</v>
      </c>
      <c r="L582" s="7">
        <v>25146.84</v>
      </c>
      <c r="M582" t="s">
        <v>1213</v>
      </c>
      <c r="N582" t="s">
        <v>55</v>
      </c>
      <c r="O582">
        <v>31</v>
      </c>
      <c r="P582" s="5" t="s">
        <v>1436</v>
      </c>
    </row>
    <row r="583" spans="1:16">
      <c r="A583" s="4">
        <v>46248</v>
      </c>
      <c r="B583" t="s">
        <v>747</v>
      </c>
      <c r="C583" s="5"/>
      <c r="D583" t="s">
        <v>748</v>
      </c>
      <c r="E583" t="s">
        <v>8</v>
      </c>
      <c r="F583" t="s">
        <v>26</v>
      </c>
      <c r="G583" t="s">
        <v>35</v>
      </c>
      <c r="H583" s="5" t="s">
        <v>749</v>
      </c>
      <c r="I583" s="7">
        <v>-7</v>
      </c>
      <c r="J583" s="7">
        <v>7</v>
      </c>
      <c r="K583" s="7">
        <v>0</v>
      </c>
      <c r="L583" s="7">
        <v>25139.84</v>
      </c>
      <c r="M583" t="s">
        <v>1213</v>
      </c>
      <c r="N583" t="s">
        <v>55</v>
      </c>
      <c r="O583">
        <v>31</v>
      </c>
      <c r="P583" s="5" t="s">
        <v>1437</v>
      </c>
    </row>
    <row r="584" spans="1:16">
      <c r="A584" s="4">
        <v>46248</v>
      </c>
      <c r="B584" t="s">
        <v>1438</v>
      </c>
      <c r="C584" s="5"/>
      <c r="D584" t="s">
        <v>1439</v>
      </c>
      <c r="E584" t="s">
        <v>3</v>
      </c>
      <c r="F584" t="s">
        <v>26</v>
      </c>
      <c r="G584" t="s">
        <v>35</v>
      </c>
      <c r="H584" s="5" t="s">
        <v>214</v>
      </c>
      <c r="I584" s="7">
        <v>-6.11</v>
      </c>
      <c r="J584" s="7">
        <v>6.11</v>
      </c>
      <c r="K584" s="7">
        <v>0</v>
      </c>
      <c r="L584" s="7">
        <v>25133.73</v>
      </c>
      <c r="M584" t="s">
        <v>1213</v>
      </c>
      <c r="N584" t="s">
        <v>55</v>
      </c>
      <c r="O584">
        <v>31</v>
      </c>
      <c r="P584" s="5" t="s">
        <v>1440</v>
      </c>
    </row>
    <row r="585" spans="1:16">
      <c r="A585" s="4">
        <v>46249</v>
      </c>
      <c r="B585" t="s">
        <v>174</v>
      </c>
      <c r="C585" s="5" t="s">
        <v>1441</v>
      </c>
      <c r="D585" t="s">
        <v>175</v>
      </c>
      <c r="E585" t="s">
        <v>8</v>
      </c>
      <c r="F585" t="s">
        <v>26</v>
      </c>
      <c r="G585" t="s">
        <v>35</v>
      </c>
      <c r="H585" s="5" t="s">
        <v>176</v>
      </c>
      <c r="I585" s="7">
        <v>-40.95</v>
      </c>
      <c r="J585" s="7">
        <v>40.95</v>
      </c>
      <c r="K585" s="7">
        <v>0</v>
      </c>
      <c r="L585" s="7">
        <v>25092.78</v>
      </c>
      <c r="M585" t="s">
        <v>1213</v>
      </c>
      <c r="N585" t="s">
        <v>55</v>
      </c>
      <c r="O585">
        <v>31</v>
      </c>
      <c r="P585" s="5" t="s">
        <v>1442</v>
      </c>
    </row>
    <row r="586" spans="1:16">
      <c r="A586" s="4">
        <v>46249</v>
      </c>
      <c r="B586" t="s">
        <v>200</v>
      </c>
      <c r="C586" s="5" t="s">
        <v>1443</v>
      </c>
      <c r="D586" t="s">
        <v>202</v>
      </c>
      <c r="E586" t="s">
        <v>3</v>
      </c>
      <c r="F586" t="s">
        <v>26</v>
      </c>
      <c r="G586" t="s">
        <v>35</v>
      </c>
      <c r="H586" s="5" t="s">
        <v>203</v>
      </c>
      <c r="I586" s="7">
        <v>-54</v>
      </c>
      <c r="J586" s="7">
        <v>54</v>
      </c>
      <c r="K586" s="7">
        <v>0</v>
      </c>
      <c r="L586" s="7">
        <v>25038.78</v>
      </c>
      <c r="M586" t="s">
        <v>1213</v>
      </c>
      <c r="N586" t="s">
        <v>55</v>
      </c>
      <c r="O586">
        <v>31</v>
      </c>
      <c r="P586" s="5" t="s">
        <v>1444</v>
      </c>
    </row>
    <row r="587" spans="1:16">
      <c r="A587" s="4">
        <v>46249</v>
      </c>
      <c r="B587" t="s">
        <v>1445</v>
      </c>
      <c r="C587" s="5"/>
      <c r="D587" t="s">
        <v>1446</v>
      </c>
      <c r="E587" t="s">
        <v>17</v>
      </c>
      <c r="F587" t="s">
        <v>29</v>
      </c>
      <c r="G587" s="8" t="s">
        <v>36</v>
      </c>
      <c r="H587" s="5"/>
      <c r="I587" s="7">
        <v>-50</v>
      </c>
      <c r="J587" s="7">
        <v>50</v>
      </c>
      <c r="K587" s="7">
        <v>0</v>
      </c>
      <c r="L587" s="7">
        <v>24988.78</v>
      </c>
      <c r="M587" t="s">
        <v>1213</v>
      </c>
      <c r="N587" t="s">
        <v>55</v>
      </c>
      <c r="O587">
        <v>31</v>
      </c>
      <c r="P587" s="5" t="s">
        <v>1447</v>
      </c>
    </row>
    <row r="588" spans="1:16">
      <c r="A588" s="4">
        <v>46249</v>
      </c>
      <c r="B588" t="s">
        <v>1448</v>
      </c>
      <c r="C588" s="5"/>
      <c r="D588" t="s">
        <v>1449</v>
      </c>
      <c r="E588" t="s">
        <v>17</v>
      </c>
      <c r="F588" t="s">
        <v>29</v>
      </c>
      <c r="G588" s="8" t="s">
        <v>36</v>
      </c>
      <c r="H588" s="5"/>
      <c r="I588" s="7">
        <v>-13.5</v>
      </c>
      <c r="J588" s="7">
        <v>13.5</v>
      </c>
      <c r="K588" s="7">
        <v>0</v>
      </c>
      <c r="L588" s="7">
        <v>24975.28</v>
      </c>
      <c r="M588" t="s">
        <v>1213</v>
      </c>
      <c r="N588" t="s">
        <v>55</v>
      </c>
      <c r="O588">
        <v>31</v>
      </c>
      <c r="P588" s="5" t="s">
        <v>1450</v>
      </c>
    </row>
    <row r="589" spans="1:16">
      <c r="A589" s="4">
        <v>46249</v>
      </c>
      <c r="B589" t="s">
        <v>1451</v>
      </c>
      <c r="C589" s="5"/>
      <c r="D589" t="s">
        <v>1452</v>
      </c>
      <c r="E589" t="s">
        <v>17</v>
      </c>
      <c r="F589" t="s">
        <v>29</v>
      </c>
      <c r="G589" s="8" t="s">
        <v>36</v>
      </c>
      <c r="H589" s="5"/>
      <c r="I589" s="7">
        <v>-15.25</v>
      </c>
      <c r="J589" s="7">
        <v>15.25</v>
      </c>
      <c r="K589" s="7">
        <v>0</v>
      </c>
      <c r="L589" s="7">
        <v>24960.03</v>
      </c>
      <c r="M589" t="s">
        <v>1213</v>
      </c>
      <c r="N589" t="s">
        <v>55</v>
      </c>
      <c r="O589">
        <v>31</v>
      </c>
      <c r="P589" s="5" t="s">
        <v>1453</v>
      </c>
    </row>
    <row r="590" spans="1:16">
      <c r="A590" s="4">
        <v>46249</v>
      </c>
      <c r="B590" t="s">
        <v>1448</v>
      </c>
      <c r="C590" s="5"/>
      <c r="D590" t="s">
        <v>1449</v>
      </c>
      <c r="E590" t="s">
        <v>17</v>
      </c>
      <c r="F590" t="s">
        <v>29</v>
      </c>
      <c r="G590" s="8" t="s">
        <v>36</v>
      </c>
      <c r="H590" s="5"/>
      <c r="I590" s="7">
        <v>-22</v>
      </c>
      <c r="J590" s="7">
        <v>22</v>
      </c>
      <c r="K590" s="7">
        <v>0</v>
      </c>
      <c r="L590" s="7">
        <v>24938.03</v>
      </c>
      <c r="M590" t="s">
        <v>1213</v>
      </c>
      <c r="N590" t="s">
        <v>55</v>
      </c>
      <c r="O590">
        <v>31</v>
      </c>
      <c r="P590" s="5" t="s">
        <v>1454</v>
      </c>
    </row>
    <row r="591" spans="1:16">
      <c r="A591" s="4">
        <v>46249</v>
      </c>
      <c r="B591" t="s">
        <v>1455</v>
      </c>
      <c r="C591" s="5"/>
      <c r="D591" t="s">
        <v>1456</v>
      </c>
      <c r="E591" t="s">
        <v>10</v>
      </c>
      <c r="F591" t="s">
        <v>25</v>
      </c>
      <c r="G591" t="s">
        <v>35</v>
      </c>
      <c r="H591" s="5" t="s">
        <v>1457</v>
      </c>
      <c r="I591" s="7">
        <v>-41.5</v>
      </c>
      <c r="J591" s="7">
        <v>41.5</v>
      </c>
      <c r="K591" s="7">
        <v>0</v>
      </c>
      <c r="L591" s="7">
        <v>24896.53</v>
      </c>
      <c r="M591" t="s">
        <v>1213</v>
      </c>
      <c r="N591" t="s">
        <v>55</v>
      </c>
      <c r="O591">
        <v>31</v>
      </c>
      <c r="P591" s="5" t="s">
        <v>1458</v>
      </c>
    </row>
    <row r="592" spans="1:16">
      <c r="A592" s="4">
        <v>46249</v>
      </c>
      <c r="B592" t="s">
        <v>1455</v>
      </c>
      <c r="C592" s="5"/>
      <c r="D592" t="s">
        <v>1456</v>
      </c>
      <c r="E592" t="s">
        <v>10</v>
      </c>
      <c r="F592" t="s">
        <v>25</v>
      </c>
      <c r="G592" t="s">
        <v>35</v>
      </c>
      <c r="H592" s="5" t="s">
        <v>1457</v>
      </c>
      <c r="I592" s="7">
        <v>-21.23</v>
      </c>
      <c r="J592" s="7">
        <v>21.23</v>
      </c>
      <c r="K592" s="7">
        <v>0</v>
      </c>
      <c r="L592" s="7">
        <v>24875.3</v>
      </c>
      <c r="M592" t="s">
        <v>1213</v>
      </c>
      <c r="N592" t="s">
        <v>55</v>
      </c>
      <c r="O592">
        <v>31</v>
      </c>
      <c r="P592" s="5" t="s">
        <v>1459</v>
      </c>
    </row>
    <row r="593" spans="1:16">
      <c r="A593" s="4">
        <v>46249</v>
      </c>
      <c r="B593" t="s">
        <v>1455</v>
      </c>
      <c r="C593" s="5"/>
      <c r="D593" t="s">
        <v>1456</v>
      </c>
      <c r="E593" t="s">
        <v>10</v>
      </c>
      <c r="F593" t="s">
        <v>25</v>
      </c>
      <c r="G593" t="s">
        <v>35</v>
      </c>
      <c r="H593" s="5" t="s">
        <v>1457</v>
      </c>
      <c r="I593" s="7">
        <v>-3.5</v>
      </c>
      <c r="J593" s="7">
        <v>3.5</v>
      </c>
      <c r="K593" s="7">
        <v>0</v>
      </c>
      <c r="L593" s="7">
        <v>24871.8</v>
      </c>
      <c r="M593" t="s">
        <v>1213</v>
      </c>
      <c r="N593" t="s">
        <v>55</v>
      </c>
      <c r="O593">
        <v>31</v>
      </c>
      <c r="P593" s="5" t="s">
        <v>1460</v>
      </c>
    </row>
    <row r="594" spans="1:16">
      <c r="A594" s="4">
        <v>46250</v>
      </c>
      <c r="B594" t="s">
        <v>1461</v>
      </c>
      <c r="C594" s="5"/>
      <c r="D594" t="s">
        <v>1462</v>
      </c>
      <c r="E594" t="s">
        <v>7</v>
      </c>
      <c r="F594" t="s">
        <v>25</v>
      </c>
      <c r="G594" t="s">
        <v>33</v>
      </c>
      <c r="H594" s="5" t="s">
        <v>1463</v>
      </c>
      <c r="I594" s="7">
        <v>-204.6</v>
      </c>
      <c r="J594" s="7">
        <v>204.6</v>
      </c>
      <c r="K594" s="7">
        <v>0</v>
      </c>
      <c r="L594" s="7">
        <v>24667.2</v>
      </c>
      <c r="M594" t="s">
        <v>1213</v>
      </c>
      <c r="N594" t="s">
        <v>55</v>
      </c>
      <c r="O594">
        <v>31</v>
      </c>
      <c r="P594" s="5" t="s">
        <v>1464</v>
      </c>
    </row>
    <row r="595" spans="1:16">
      <c r="A595" s="4">
        <v>46251</v>
      </c>
      <c r="B595" t="s">
        <v>297</v>
      </c>
      <c r="C595" s="5"/>
      <c r="D595" t="s">
        <v>298</v>
      </c>
      <c r="E595" t="s">
        <v>3</v>
      </c>
      <c r="F595" t="s">
        <v>26</v>
      </c>
      <c r="G595" t="s">
        <v>35</v>
      </c>
      <c r="H595" s="5" t="s">
        <v>299</v>
      </c>
      <c r="I595" s="7">
        <v>-5.05</v>
      </c>
      <c r="J595" s="7">
        <v>5.05</v>
      </c>
      <c r="K595" s="7">
        <v>0</v>
      </c>
      <c r="L595" s="7">
        <v>24662.15</v>
      </c>
      <c r="M595" t="s">
        <v>1213</v>
      </c>
      <c r="N595" t="s">
        <v>55</v>
      </c>
      <c r="O595">
        <v>31</v>
      </c>
      <c r="P595" s="5" t="s">
        <v>1465</v>
      </c>
    </row>
    <row r="596" spans="1:16">
      <c r="A596" s="4">
        <v>46251</v>
      </c>
      <c r="B596" t="s">
        <v>57</v>
      </c>
      <c r="C596" s="5" t="s">
        <v>1466</v>
      </c>
      <c r="D596" t="s">
        <v>57</v>
      </c>
      <c r="E596" t="s">
        <v>20</v>
      </c>
      <c r="F596" t="s">
        <v>31</v>
      </c>
      <c r="G596" t="s">
        <v>37</v>
      </c>
      <c r="H596" s="5"/>
      <c r="I596" s="7">
        <v>826.62</v>
      </c>
      <c r="J596" s="7">
        <v>0</v>
      </c>
      <c r="K596" s="7">
        <v>826.62</v>
      </c>
      <c r="L596" s="7">
        <v>25488.77</v>
      </c>
      <c r="M596" t="s">
        <v>1213</v>
      </c>
      <c r="N596" t="s">
        <v>55</v>
      </c>
      <c r="O596">
        <v>31</v>
      </c>
      <c r="P596" s="5" t="s">
        <v>1467</v>
      </c>
    </row>
    <row r="597" spans="1:16">
      <c r="A597" s="4">
        <v>46251</v>
      </c>
      <c r="B597" t="s">
        <v>362</v>
      </c>
      <c r="C597" s="5" t="s">
        <v>1468</v>
      </c>
      <c r="D597" t="s">
        <v>362</v>
      </c>
      <c r="E597" t="s">
        <v>4</v>
      </c>
      <c r="F597" t="s">
        <v>25</v>
      </c>
      <c r="G597" t="s">
        <v>35</v>
      </c>
      <c r="H597" s="5" t="s">
        <v>364</v>
      </c>
      <c r="I597" s="7">
        <v>-138</v>
      </c>
      <c r="J597" s="7">
        <v>138</v>
      </c>
      <c r="K597" s="7">
        <v>0</v>
      </c>
      <c r="L597" s="7">
        <v>25350.77</v>
      </c>
      <c r="M597" t="s">
        <v>1213</v>
      </c>
      <c r="N597" t="s">
        <v>55</v>
      </c>
      <c r="O597">
        <v>31</v>
      </c>
      <c r="P597" s="5" t="s">
        <v>1469</v>
      </c>
    </row>
    <row r="598" spans="1:16">
      <c r="A598" s="4">
        <v>46252</v>
      </c>
      <c r="B598" t="s">
        <v>280</v>
      </c>
      <c r="C598" s="5" t="s">
        <v>1470</v>
      </c>
      <c r="D598" t="s">
        <v>282</v>
      </c>
      <c r="E598" t="s">
        <v>8</v>
      </c>
      <c r="F598" t="s">
        <v>26</v>
      </c>
      <c r="G598" t="s">
        <v>35</v>
      </c>
      <c r="H598" s="5" t="s">
        <v>176</v>
      </c>
      <c r="I598" s="7">
        <v>-55.99</v>
      </c>
      <c r="J598" s="7">
        <v>55.99</v>
      </c>
      <c r="K598" s="7">
        <v>0</v>
      </c>
      <c r="L598" s="7">
        <v>25294.78</v>
      </c>
      <c r="M598" t="s">
        <v>1213</v>
      </c>
      <c r="N598" t="s">
        <v>55</v>
      </c>
      <c r="O598">
        <v>31</v>
      </c>
      <c r="P598" s="5" t="s">
        <v>1471</v>
      </c>
    </row>
    <row r="599" spans="1:16">
      <c r="A599" s="4">
        <v>46252</v>
      </c>
      <c r="B599" t="s">
        <v>235</v>
      </c>
      <c r="C599" s="5" t="s">
        <v>1472</v>
      </c>
      <c r="D599" t="s">
        <v>100</v>
      </c>
      <c r="E599" t="s">
        <v>5</v>
      </c>
      <c r="F599" t="s">
        <v>25</v>
      </c>
      <c r="G599" t="s">
        <v>33</v>
      </c>
      <c r="H599" s="5" t="s">
        <v>101</v>
      </c>
      <c r="I599" s="7">
        <v>-60</v>
      </c>
      <c r="J599" s="7">
        <v>60</v>
      </c>
      <c r="K599" s="7">
        <v>0</v>
      </c>
      <c r="L599" s="7">
        <v>25234.78</v>
      </c>
      <c r="M599" t="s">
        <v>1213</v>
      </c>
      <c r="N599" t="s">
        <v>55</v>
      </c>
      <c r="O599">
        <v>31</v>
      </c>
      <c r="P599" s="5" t="s">
        <v>1473</v>
      </c>
    </row>
    <row r="600" spans="1:16">
      <c r="A600" s="4">
        <v>46252</v>
      </c>
      <c r="B600" t="s">
        <v>1474</v>
      </c>
      <c r="C600" s="5" t="s">
        <v>1475</v>
      </c>
      <c r="D600" t="s">
        <v>1476</v>
      </c>
      <c r="E600" t="s">
        <v>3</v>
      </c>
      <c r="F600" t="s">
        <v>26</v>
      </c>
      <c r="G600" t="s">
        <v>33</v>
      </c>
      <c r="H600" s="5" t="s">
        <v>1477</v>
      </c>
      <c r="I600" s="7">
        <v>-5.53</v>
      </c>
      <c r="J600" s="7">
        <v>5.53</v>
      </c>
      <c r="K600" s="7">
        <v>0</v>
      </c>
      <c r="L600" s="7">
        <v>25229.25</v>
      </c>
      <c r="M600" t="s">
        <v>1213</v>
      </c>
      <c r="N600" t="s">
        <v>55</v>
      </c>
      <c r="O600">
        <v>31</v>
      </c>
      <c r="P600" s="5" t="s">
        <v>1478</v>
      </c>
    </row>
    <row r="601" spans="1:16">
      <c r="A601" s="4">
        <v>46252</v>
      </c>
      <c r="B601" t="s">
        <v>1380</v>
      </c>
      <c r="C601" s="5" t="s">
        <v>1475</v>
      </c>
      <c r="D601" t="s">
        <v>1382</v>
      </c>
      <c r="E601" t="s">
        <v>3</v>
      </c>
      <c r="F601" t="s">
        <v>26</v>
      </c>
      <c r="G601" t="s">
        <v>35</v>
      </c>
      <c r="H601" s="5" t="s">
        <v>207</v>
      </c>
      <c r="I601" s="7">
        <v>-26.41</v>
      </c>
      <c r="J601" s="7">
        <v>26.41</v>
      </c>
      <c r="K601" s="7">
        <v>0</v>
      </c>
      <c r="L601" s="7">
        <v>25202.84</v>
      </c>
      <c r="M601" t="s">
        <v>1213</v>
      </c>
      <c r="N601" t="s">
        <v>55</v>
      </c>
      <c r="O601">
        <v>31</v>
      </c>
      <c r="P601" s="5" t="s">
        <v>1479</v>
      </c>
    </row>
    <row r="602" spans="1:16">
      <c r="A602" s="4">
        <v>46252</v>
      </c>
      <c r="B602" t="s">
        <v>1480</v>
      </c>
      <c r="C602" s="5" t="s">
        <v>1475</v>
      </c>
      <c r="D602" t="s">
        <v>1481</v>
      </c>
      <c r="E602" t="s">
        <v>2</v>
      </c>
      <c r="F602" t="s">
        <v>25</v>
      </c>
      <c r="G602" t="s">
        <v>35</v>
      </c>
      <c r="H602" s="5" t="s">
        <v>84</v>
      </c>
      <c r="I602" s="7">
        <v>-82.38</v>
      </c>
      <c r="J602" s="7">
        <v>82.38</v>
      </c>
      <c r="K602" s="7">
        <v>0</v>
      </c>
      <c r="L602" s="7">
        <v>25120.46</v>
      </c>
      <c r="M602" t="s">
        <v>1213</v>
      </c>
      <c r="N602" t="s">
        <v>55</v>
      </c>
      <c r="O602">
        <v>31</v>
      </c>
      <c r="P602" s="5" t="s">
        <v>1482</v>
      </c>
    </row>
    <row r="603" spans="1:16">
      <c r="A603" s="4">
        <v>46252</v>
      </c>
      <c r="B603" t="s">
        <v>1260</v>
      </c>
      <c r="C603" s="5" t="s">
        <v>1475</v>
      </c>
      <c r="D603" t="s">
        <v>1261</v>
      </c>
      <c r="E603" t="s">
        <v>3</v>
      </c>
      <c r="F603" t="s">
        <v>26</v>
      </c>
      <c r="G603" t="s">
        <v>35</v>
      </c>
      <c r="H603" s="5" t="s">
        <v>341</v>
      </c>
      <c r="I603" s="7">
        <v>-14</v>
      </c>
      <c r="J603" s="7">
        <v>14</v>
      </c>
      <c r="K603" s="7">
        <v>0</v>
      </c>
      <c r="L603" s="7">
        <v>25106.46</v>
      </c>
      <c r="M603" t="s">
        <v>1213</v>
      </c>
      <c r="N603" t="s">
        <v>55</v>
      </c>
      <c r="O603">
        <v>32</v>
      </c>
      <c r="P603" s="5" t="s">
        <v>1483</v>
      </c>
    </row>
    <row r="604" spans="1:16">
      <c r="A604" s="4">
        <v>46252</v>
      </c>
      <c r="B604" t="s">
        <v>109</v>
      </c>
      <c r="C604" s="5" t="s">
        <v>1484</v>
      </c>
      <c r="D604" t="s">
        <v>111</v>
      </c>
      <c r="E604" t="s">
        <v>3</v>
      </c>
      <c r="F604" t="s">
        <v>26</v>
      </c>
      <c r="G604" t="s">
        <v>35</v>
      </c>
      <c r="H604" s="5" t="s">
        <v>112</v>
      </c>
      <c r="I604" s="7">
        <v>-35.92</v>
      </c>
      <c r="J604" s="7">
        <v>35.92</v>
      </c>
      <c r="K604" s="7">
        <v>0</v>
      </c>
      <c r="L604" s="7">
        <v>25070.54</v>
      </c>
      <c r="M604" t="s">
        <v>1213</v>
      </c>
      <c r="N604" t="s">
        <v>55</v>
      </c>
      <c r="O604">
        <v>32</v>
      </c>
      <c r="P604" s="5" t="s">
        <v>1485</v>
      </c>
    </row>
    <row r="605" spans="1:16">
      <c r="A605" s="4">
        <v>46252</v>
      </c>
      <c r="B605" t="s">
        <v>1486</v>
      </c>
      <c r="C605" s="5" t="s">
        <v>1487</v>
      </c>
      <c r="D605" t="s">
        <v>1488</v>
      </c>
      <c r="E605" t="s">
        <v>3</v>
      </c>
      <c r="F605" t="s">
        <v>26</v>
      </c>
      <c r="G605" t="s">
        <v>35</v>
      </c>
      <c r="H605" s="5" t="s">
        <v>75</v>
      </c>
      <c r="I605" s="7">
        <v>-24.67</v>
      </c>
      <c r="J605" s="7">
        <v>24.67</v>
      </c>
      <c r="K605" s="7">
        <v>0</v>
      </c>
      <c r="L605" s="7">
        <v>25045.87</v>
      </c>
      <c r="M605" t="s">
        <v>1213</v>
      </c>
      <c r="N605" t="s">
        <v>55</v>
      </c>
      <c r="O605">
        <v>32</v>
      </c>
      <c r="P605" s="5" t="s">
        <v>1489</v>
      </c>
    </row>
    <row r="606" spans="1:16">
      <c r="A606" s="4">
        <v>46252</v>
      </c>
      <c r="B606" t="s">
        <v>1490</v>
      </c>
      <c r="C606" s="5" t="s">
        <v>1487</v>
      </c>
      <c r="D606" t="s">
        <v>1491</v>
      </c>
      <c r="E606" t="s">
        <v>17</v>
      </c>
      <c r="F606" t="s">
        <v>29</v>
      </c>
      <c r="G606" s="8" t="s">
        <v>36</v>
      </c>
      <c r="H606" s="5"/>
      <c r="I606" s="7">
        <v>-9.1</v>
      </c>
      <c r="J606" s="7">
        <v>9.1</v>
      </c>
      <c r="K606" s="7">
        <v>0</v>
      </c>
      <c r="L606" s="7">
        <v>25036.77</v>
      </c>
      <c r="M606" t="s">
        <v>1213</v>
      </c>
      <c r="N606" t="s">
        <v>55</v>
      </c>
      <c r="O606">
        <v>32</v>
      </c>
      <c r="P606" s="5" t="s">
        <v>1492</v>
      </c>
    </row>
    <row r="607" spans="1:16">
      <c r="A607" s="4">
        <v>46252</v>
      </c>
      <c r="B607" t="s">
        <v>966</v>
      </c>
      <c r="C607" s="5" t="s">
        <v>1493</v>
      </c>
      <c r="D607" t="s">
        <v>100</v>
      </c>
      <c r="E607" t="s">
        <v>5</v>
      </c>
      <c r="F607" t="s">
        <v>25</v>
      </c>
      <c r="G607" t="s">
        <v>33</v>
      </c>
      <c r="H607" s="5" t="s">
        <v>968</v>
      </c>
      <c r="I607" s="7">
        <v>-10.26</v>
      </c>
      <c r="J607" s="7">
        <v>10.26</v>
      </c>
      <c r="K607" s="7">
        <v>0</v>
      </c>
      <c r="L607" s="7">
        <v>25026.51</v>
      </c>
      <c r="M607" t="s">
        <v>1213</v>
      </c>
      <c r="N607" t="s">
        <v>55</v>
      </c>
      <c r="O607">
        <v>32</v>
      </c>
      <c r="P607" s="5" t="s">
        <v>1494</v>
      </c>
    </row>
    <row r="608" spans="1:16">
      <c r="A608" s="4">
        <v>46252</v>
      </c>
      <c r="B608" t="s">
        <v>149</v>
      </c>
      <c r="C608" s="5" t="s">
        <v>1426</v>
      </c>
      <c r="D608" t="s">
        <v>150</v>
      </c>
      <c r="E608" t="s">
        <v>3</v>
      </c>
      <c r="F608" t="s">
        <v>26</v>
      </c>
      <c r="G608" s="6" t="s">
        <v>34</v>
      </c>
      <c r="H608" s="5" t="s">
        <v>151</v>
      </c>
      <c r="I608" s="7">
        <v>-6.07</v>
      </c>
      <c r="J608" s="7">
        <v>6.07</v>
      </c>
      <c r="K608" s="7">
        <v>0</v>
      </c>
      <c r="L608" s="7">
        <v>25020.44</v>
      </c>
      <c r="M608" t="s">
        <v>1213</v>
      </c>
      <c r="N608" t="s">
        <v>55</v>
      </c>
      <c r="O608">
        <v>32</v>
      </c>
      <c r="P608" s="5" t="s">
        <v>1495</v>
      </c>
    </row>
    <row r="609" spans="1:16">
      <c r="A609" s="4">
        <v>46252</v>
      </c>
      <c r="B609" t="s">
        <v>153</v>
      </c>
      <c r="C609" s="5" t="s">
        <v>1426</v>
      </c>
      <c r="D609" t="s">
        <v>154</v>
      </c>
      <c r="E609" t="s">
        <v>17</v>
      </c>
      <c r="F609" t="s">
        <v>29</v>
      </c>
      <c r="G609" s="8" t="s">
        <v>36</v>
      </c>
      <c r="H609" s="5"/>
      <c r="I609" s="7">
        <v>-3.55</v>
      </c>
      <c r="J609" s="7">
        <v>3.55</v>
      </c>
      <c r="K609" s="7">
        <v>0</v>
      </c>
      <c r="L609" s="7">
        <v>25016.89</v>
      </c>
      <c r="M609" t="s">
        <v>1213</v>
      </c>
      <c r="N609" t="s">
        <v>55</v>
      </c>
      <c r="O609">
        <v>32</v>
      </c>
      <c r="P609" s="5" t="s">
        <v>1496</v>
      </c>
    </row>
    <row r="610" spans="1:16">
      <c r="A610" s="4">
        <v>46252</v>
      </c>
      <c r="B610" t="s">
        <v>1497</v>
      </c>
      <c r="C610" s="5" t="s">
        <v>1493</v>
      </c>
      <c r="D610" t="s">
        <v>1498</v>
      </c>
      <c r="E610" t="s">
        <v>7</v>
      </c>
      <c r="F610" t="s">
        <v>25</v>
      </c>
      <c r="G610" t="s">
        <v>33</v>
      </c>
      <c r="H610" s="5" t="s">
        <v>1499</v>
      </c>
      <c r="I610" s="7">
        <v>-385</v>
      </c>
      <c r="J610" s="7">
        <v>385</v>
      </c>
      <c r="K610" s="7">
        <v>0</v>
      </c>
      <c r="L610" s="7">
        <v>24631.89</v>
      </c>
      <c r="M610" t="s">
        <v>1213</v>
      </c>
      <c r="N610" t="s">
        <v>55</v>
      </c>
      <c r="O610">
        <v>32</v>
      </c>
      <c r="P610" s="5" t="s">
        <v>1500</v>
      </c>
    </row>
    <row r="611" spans="1:16">
      <c r="A611" s="4">
        <v>46252</v>
      </c>
      <c r="B611" t="s">
        <v>1501</v>
      </c>
      <c r="C611" s="5" t="s">
        <v>1493</v>
      </c>
      <c r="D611" t="s">
        <v>538</v>
      </c>
      <c r="E611" t="s">
        <v>3</v>
      </c>
      <c r="F611" t="s">
        <v>26</v>
      </c>
      <c r="G611" t="s">
        <v>35</v>
      </c>
      <c r="H611" s="5" t="s">
        <v>539</v>
      </c>
      <c r="I611" s="7">
        <v>-5.08</v>
      </c>
      <c r="J611" s="7">
        <v>5.08</v>
      </c>
      <c r="K611" s="7">
        <v>0</v>
      </c>
      <c r="L611" s="7">
        <v>24626.81</v>
      </c>
      <c r="M611" t="s">
        <v>1213</v>
      </c>
      <c r="N611" t="s">
        <v>55</v>
      </c>
      <c r="O611">
        <v>32</v>
      </c>
      <c r="P611" s="5" t="s">
        <v>1502</v>
      </c>
    </row>
    <row r="612" spans="1:16">
      <c r="A612" s="4">
        <v>46252</v>
      </c>
      <c r="B612" t="s">
        <v>1503</v>
      </c>
      <c r="C612" s="5" t="s">
        <v>1493</v>
      </c>
      <c r="D612" t="s">
        <v>355</v>
      </c>
      <c r="E612" t="s">
        <v>2</v>
      </c>
      <c r="F612" t="s">
        <v>25</v>
      </c>
      <c r="G612" t="s">
        <v>35</v>
      </c>
      <c r="H612" s="5" t="s">
        <v>356</v>
      </c>
      <c r="I612" s="7">
        <v>-4.49</v>
      </c>
      <c r="J612" s="7">
        <v>4.49</v>
      </c>
      <c r="K612" s="7">
        <v>0</v>
      </c>
      <c r="L612" s="7">
        <v>24622.32</v>
      </c>
      <c r="M612" t="s">
        <v>1213</v>
      </c>
      <c r="N612" t="s">
        <v>55</v>
      </c>
      <c r="O612">
        <v>32</v>
      </c>
      <c r="P612" s="5" t="s">
        <v>1504</v>
      </c>
    </row>
    <row r="613" spans="1:16">
      <c r="A613" s="4">
        <v>46252</v>
      </c>
      <c r="B613" t="s">
        <v>1505</v>
      </c>
      <c r="C613" s="5"/>
      <c r="D613" t="s">
        <v>1506</v>
      </c>
      <c r="E613" t="s">
        <v>21</v>
      </c>
      <c r="F613" t="s">
        <v>31</v>
      </c>
      <c r="G613" t="s">
        <v>37</v>
      </c>
      <c r="H613" s="5"/>
      <c r="I613" s="7">
        <v>67.59999999999999</v>
      </c>
      <c r="J613" s="7">
        <v>0</v>
      </c>
      <c r="K613" s="7">
        <v>67.59999999999999</v>
      </c>
      <c r="L613" s="7">
        <v>24689.92</v>
      </c>
      <c r="M613" t="s">
        <v>1213</v>
      </c>
      <c r="N613" t="s">
        <v>55</v>
      </c>
      <c r="O613">
        <v>32</v>
      </c>
      <c r="P613" s="5" t="s">
        <v>1507</v>
      </c>
    </row>
    <row r="614" spans="1:16">
      <c r="A614" s="4">
        <v>46253</v>
      </c>
      <c r="B614" t="s">
        <v>896</v>
      </c>
      <c r="C614" s="5" t="s">
        <v>1475</v>
      </c>
      <c r="D614" t="s">
        <v>898</v>
      </c>
      <c r="E614" t="s">
        <v>8</v>
      </c>
      <c r="F614" t="s">
        <v>26</v>
      </c>
      <c r="G614" t="s">
        <v>35</v>
      </c>
      <c r="H614" s="5" t="s">
        <v>467</v>
      </c>
      <c r="I614" s="7">
        <v>-5</v>
      </c>
      <c r="J614" s="7">
        <v>5</v>
      </c>
      <c r="K614" s="7">
        <v>0</v>
      </c>
      <c r="L614" s="7">
        <v>24684.92</v>
      </c>
      <c r="M614" t="s">
        <v>1213</v>
      </c>
      <c r="N614" t="s">
        <v>55</v>
      </c>
      <c r="O614">
        <v>32</v>
      </c>
      <c r="P614" s="5" t="s">
        <v>1508</v>
      </c>
    </row>
    <row r="615" spans="1:16">
      <c r="A615" s="4">
        <v>46253</v>
      </c>
      <c r="B615" t="s">
        <v>116</v>
      </c>
      <c r="C615" s="5" t="s">
        <v>1493</v>
      </c>
      <c r="D615" t="s">
        <v>117</v>
      </c>
      <c r="E615" t="s">
        <v>3</v>
      </c>
      <c r="F615" t="s">
        <v>26</v>
      </c>
      <c r="G615" t="s">
        <v>35</v>
      </c>
      <c r="H615" s="5" t="s">
        <v>118</v>
      </c>
      <c r="I615" s="7">
        <v>-6.6</v>
      </c>
      <c r="J615" s="7">
        <v>6.6</v>
      </c>
      <c r="K615" s="7">
        <v>0</v>
      </c>
      <c r="L615" s="7">
        <v>24678.32</v>
      </c>
      <c r="M615" t="s">
        <v>1213</v>
      </c>
      <c r="N615" t="s">
        <v>55</v>
      </c>
      <c r="O615">
        <v>32</v>
      </c>
      <c r="P615" s="5" t="s">
        <v>1509</v>
      </c>
    </row>
    <row r="616" spans="1:16">
      <c r="A616" s="4">
        <v>46253</v>
      </c>
      <c r="B616" t="s">
        <v>1510</v>
      </c>
      <c r="C616" s="5" t="s">
        <v>1493</v>
      </c>
      <c r="D616" t="s">
        <v>1511</v>
      </c>
      <c r="E616" t="s">
        <v>17</v>
      </c>
      <c r="F616" t="s">
        <v>29</v>
      </c>
      <c r="G616" s="8" t="s">
        <v>36</v>
      </c>
      <c r="H616" s="5"/>
      <c r="I616" s="7">
        <v>-499</v>
      </c>
      <c r="J616" s="7">
        <v>499</v>
      </c>
      <c r="K616" s="7">
        <v>0</v>
      </c>
      <c r="L616" s="7">
        <v>24179.32</v>
      </c>
      <c r="M616" t="s">
        <v>1213</v>
      </c>
      <c r="N616" t="s">
        <v>55</v>
      </c>
      <c r="O616">
        <v>32</v>
      </c>
      <c r="P616" s="5" t="s">
        <v>1512</v>
      </c>
    </row>
    <row r="617" spans="1:16">
      <c r="A617" s="4">
        <v>46253</v>
      </c>
      <c r="B617" t="s">
        <v>1019</v>
      </c>
      <c r="C617" s="5" t="s">
        <v>1513</v>
      </c>
      <c r="D617" t="s">
        <v>1020</v>
      </c>
      <c r="E617" t="s">
        <v>12</v>
      </c>
      <c r="F617" t="s">
        <v>26</v>
      </c>
      <c r="G617" t="s">
        <v>35</v>
      </c>
      <c r="H617" s="5" t="s">
        <v>426</v>
      </c>
      <c r="I617" s="7">
        <v>-9.99</v>
      </c>
      <c r="J617" s="7">
        <v>9.99</v>
      </c>
      <c r="K617" s="7">
        <v>0</v>
      </c>
      <c r="L617" s="7">
        <v>24169.33</v>
      </c>
      <c r="M617" t="s">
        <v>1213</v>
      </c>
      <c r="N617" t="s">
        <v>55</v>
      </c>
      <c r="O617">
        <v>32</v>
      </c>
      <c r="P617" s="5" t="s">
        <v>1514</v>
      </c>
    </row>
    <row r="618" spans="1:16">
      <c r="A618" s="4">
        <v>46253</v>
      </c>
      <c r="B618" t="s">
        <v>1392</v>
      </c>
      <c r="C618" s="5" t="s">
        <v>1515</v>
      </c>
      <c r="D618" t="s">
        <v>1393</v>
      </c>
      <c r="E618" t="s">
        <v>3</v>
      </c>
      <c r="F618" t="s">
        <v>26</v>
      </c>
      <c r="G618" s="6" t="s">
        <v>34</v>
      </c>
      <c r="H618" s="5" t="s">
        <v>1394</v>
      </c>
      <c r="I618" s="7">
        <v>-4.05</v>
      </c>
      <c r="J618" s="7">
        <v>4.05</v>
      </c>
      <c r="K618" s="7">
        <v>0</v>
      </c>
      <c r="L618" s="7">
        <v>24165.28</v>
      </c>
      <c r="M618" t="s">
        <v>1213</v>
      </c>
      <c r="N618" t="s">
        <v>55</v>
      </c>
      <c r="O618">
        <v>33</v>
      </c>
      <c r="P618" s="5" t="s">
        <v>1516</v>
      </c>
    </row>
    <row r="619" spans="1:16">
      <c r="A619" s="4">
        <v>46253</v>
      </c>
      <c r="B619" t="s">
        <v>1417</v>
      </c>
      <c r="C619" s="5" t="s">
        <v>1515</v>
      </c>
      <c r="D619" t="s">
        <v>1418</v>
      </c>
      <c r="E619" t="s">
        <v>3</v>
      </c>
      <c r="F619" t="s">
        <v>26</v>
      </c>
      <c r="G619" t="s">
        <v>35</v>
      </c>
      <c r="H619" s="5" t="s">
        <v>768</v>
      </c>
      <c r="I619" s="7">
        <v>-5.08</v>
      </c>
      <c r="J619" s="7">
        <v>5.08</v>
      </c>
      <c r="K619" s="7">
        <v>0</v>
      </c>
      <c r="L619" s="7">
        <v>24160.2</v>
      </c>
      <c r="M619" t="s">
        <v>1213</v>
      </c>
      <c r="N619" t="s">
        <v>55</v>
      </c>
      <c r="O619">
        <v>33</v>
      </c>
      <c r="P619" s="5" t="s">
        <v>1517</v>
      </c>
    </row>
    <row r="620" spans="1:16">
      <c r="A620" s="4">
        <v>46253</v>
      </c>
      <c r="B620" t="s">
        <v>384</v>
      </c>
      <c r="C620" s="5" t="s">
        <v>1515</v>
      </c>
      <c r="D620" t="s">
        <v>385</v>
      </c>
      <c r="E620" t="s">
        <v>3</v>
      </c>
      <c r="F620" t="s">
        <v>26</v>
      </c>
      <c r="G620" t="s">
        <v>35</v>
      </c>
      <c r="H620" s="5" t="s">
        <v>93</v>
      </c>
      <c r="I620" s="7">
        <v>-27.1</v>
      </c>
      <c r="J620" s="7">
        <v>27.1</v>
      </c>
      <c r="K620" s="7">
        <v>0</v>
      </c>
      <c r="L620" s="7">
        <v>24133.1</v>
      </c>
      <c r="M620" t="s">
        <v>1213</v>
      </c>
      <c r="N620" t="s">
        <v>55</v>
      </c>
      <c r="O620">
        <v>33</v>
      </c>
      <c r="P620" s="5" t="s">
        <v>1518</v>
      </c>
    </row>
    <row r="621" spans="1:16">
      <c r="A621" s="4">
        <v>46253</v>
      </c>
      <c r="B621" t="s">
        <v>1519</v>
      </c>
      <c r="C621" s="5"/>
      <c r="D621" t="s">
        <v>1520</v>
      </c>
      <c r="E621" t="s">
        <v>3</v>
      </c>
      <c r="F621" t="s">
        <v>26</v>
      </c>
      <c r="G621" t="s">
        <v>35</v>
      </c>
      <c r="H621" s="5" t="s">
        <v>444</v>
      </c>
      <c r="I621" s="7">
        <v>-7.08</v>
      </c>
      <c r="J621" s="7">
        <v>7.08</v>
      </c>
      <c r="K621" s="7">
        <v>0</v>
      </c>
      <c r="L621" s="7">
        <v>24126.02</v>
      </c>
      <c r="M621" t="s">
        <v>1213</v>
      </c>
      <c r="N621" t="s">
        <v>55</v>
      </c>
      <c r="O621">
        <v>33</v>
      </c>
      <c r="P621" s="5" t="s">
        <v>1521</v>
      </c>
    </row>
    <row r="622" spans="1:16">
      <c r="A622" s="4">
        <v>46253</v>
      </c>
      <c r="B622" t="s">
        <v>703</v>
      </c>
      <c r="C622" s="5"/>
      <c r="D622" t="s">
        <v>704</v>
      </c>
      <c r="E622" t="s">
        <v>3</v>
      </c>
      <c r="F622" t="s">
        <v>26</v>
      </c>
      <c r="G622" t="s">
        <v>35</v>
      </c>
      <c r="H622" s="5" t="s">
        <v>299</v>
      </c>
      <c r="I622" s="7">
        <v>-5.06</v>
      </c>
      <c r="J622" s="7">
        <v>5.06</v>
      </c>
      <c r="K622" s="7">
        <v>0</v>
      </c>
      <c r="L622" s="7">
        <v>24120.96</v>
      </c>
      <c r="M622" t="s">
        <v>1213</v>
      </c>
      <c r="N622" t="s">
        <v>55</v>
      </c>
      <c r="O622">
        <v>33</v>
      </c>
      <c r="P622" s="5" t="s">
        <v>1522</v>
      </c>
    </row>
    <row r="623" spans="1:16">
      <c r="A623" s="4">
        <v>46253</v>
      </c>
      <c r="B623" t="s">
        <v>1523</v>
      </c>
      <c r="C623" s="5"/>
      <c r="D623" t="s">
        <v>1523</v>
      </c>
      <c r="E623" t="s">
        <v>17</v>
      </c>
      <c r="F623" t="s">
        <v>29</v>
      </c>
      <c r="G623" s="8" t="s">
        <v>36</v>
      </c>
      <c r="H623" s="5"/>
      <c r="I623" s="7">
        <v>-11.75</v>
      </c>
      <c r="J623" s="7">
        <v>11.75</v>
      </c>
      <c r="K623" s="7">
        <v>0</v>
      </c>
      <c r="L623" s="7">
        <v>24109.21</v>
      </c>
      <c r="M623" t="s">
        <v>1213</v>
      </c>
      <c r="N623" t="s">
        <v>55</v>
      </c>
      <c r="O623">
        <v>33</v>
      </c>
      <c r="P623" s="5" t="s">
        <v>1524</v>
      </c>
    </row>
    <row r="624" spans="1:16">
      <c r="A624" s="4">
        <v>46253</v>
      </c>
      <c r="B624" t="s">
        <v>138</v>
      </c>
      <c r="C624" s="5" t="s">
        <v>1525</v>
      </c>
      <c r="D624" t="s">
        <v>138</v>
      </c>
      <c r="E624" t="s">
        <v>6</v>
      </c>
      <c r="F624" t="s">
        <v>26</v>
      </c>
      <c r="G624" t="s">
        <v>35</v>
      </c>
      <c r="H624" s="5" t="s">
        <v>140</v>
      </c>
      <c r="I624" s="7">
        <v>-68</v>
      </c>
      <c r="J624" s="7">
        <v>68</v>
      </c>
      <c r="K624" s="7">
        <v>0</v>
      </c>
      <c r="L624" s="7">
        <v>24041.21</v>
      </c>
      <c r="M624" t="s">
        <v>1213</v>
      </c>
      <c r="N624" t="s">
        <v>55</v>
      </c>
      <c r="O624">
        <v>33</v>
      </c>
      <c r="P624" s="5" t="s">
        <v>1526</v>
      </c>
    </row>
    <row r="625" spans="1:16">
      <c r="A625" s="4">
        <v>46254</v>
      </c>
      <c r="B625" t="s">
        <v>930</v>
      </c>
      <c r="C625" s="5" t="s">
        <v>1527</v>
      </c>
      <c r="D625" t="s">
        <v>932</v>
      </c>
      <c r="E625" t="s">
        <v>21</v>
      </c>
      <c r="F625" t="s">
        <v>31</v>
      </c>
      <c r="G625" t="s">
        <v>37</v>
      </c>
      <c r="H625" s="5"/>
      <c r="I625" s="7">
        <v>19.99</v>
      </c>
      <c r="J625" s="7">
        <v>0</v>
      </c>
      <c r="K625" s="7">
        <v>19.99</v>
      </c>
      <c r="L625" s="7">
        <v>24061.2</v>
      </c>
      <c r="M625" t="s">
        <v>1213</v>
      </c>
      <c r="N625" t="s">
        <v>55</v>
      </c>
      <c r="O625">
        <v>33</v>
      </c>
      <c r="P625" s="5" t="s">
        <v>1528</v>
      </c>
    </row>
    <row r="626" spans="1:16">
      <c r="A626" s="4">
        <v>46254</v>
      </c>
      <c r="B626" t="s">
        <v>1529</v>
      </c>
      <c r="C626" s="5" t="s">
        <v>1527</v>
      </c>
      <c r="D626" t="s">
        <v>1530</v>
      </c>
      <c r="E626" t="s">
        <v>23</v>
      </c>
      <c r="F626" t="s">
        <v>28</v>
      </c>
      <c r="G626" s="6" t="s">
        <v>34</v>
      </c>
      <c r="H626" s="5" t="s">
        <v>1531</v>
      </c>
      <c r="I626" s="7">
        <v>-826.62</v>
      </c>
      <c r="J626" s="7">
        <v>826.62</v>
      </c>
      <c r="K626" s="7">
        <v>0</v>
      </c>
      <c r="L626" s="7">
        <v>23234.58</v>
      </c>
      <c r="M626" t="s">
        <v>1213</v>
      </c>
      <c r="N626" t="s">
        <v>55</v>
      </c>
      <c r="O626">
        <v>33</v>
      </c>
      <c r="P626" s="5" t="s">
        <v>1532</v>
      </c>
    </row>
    <row r="627" spans="1:16">
      <c r="A627" s="4">
        <v>46254</v>
      </c>
      <c r="B627" t="s">
        <v>1392</v>
      </c>
      <c r="C627" s="5" t="s">
        <v>1513</v>
      </c>
      <c r="D627" t="s">
        <v>1393</v>
      </c>
      <c r="E627" t="s">
        <v>3</v>
      </c>
      <c r="F627" t="s">
        <v>26</v>
      </c>
      <c r="G627" s="6" t="s">
        <v>34</v>
      </c>
      <c r="H627" s="5" t="s">
        <v>1394</v>
      </c>
      <c r="I627" s="7">
        <v>-4.05</v>
      </c>
      <c r="J627" s="7">
        <v>4.05</v>
      </c>
      <c r="K627" s="7">
        <v>0</v>
      </c>
      <c r="L627" s="7">
        <v>23230.53</v>
      </c>
      <c r="M627" t="s">
        <v>1213</v>
      </c>
      <c r="N627" t="s">
        <v>55</v>
      </c>
      <c r="O627">
        <v>33</v>
      </c>
      <c r="P627" s="5" t="s">
        <v>1533</v>
      </c>
    </row>
    <row r="628" spans="1:16">
      <c r="A628" s="4">
        <v>46254</v>
      </c>
      <c r="B628" t="s">
        <v>522</v>
      </c>
      <c r="C628" s="5" t="s">
        <v>1515</v>
      </c>
      <c r="D628" t="s">
        <v>523</v>
      </c>
      <c r="E628" t="s">
        <v>7</v>
      </c>
      <c r="F628" t="s">
        <v>25</v>
      </c>
      <c r="G628" t="s">
        <v>35</v>
      </c>
      <c r="H628" s="5" t="s">
        <v>524</v>
      </c>
      <c r="I628" s="7">
        <v>-15.99</v>
      </c>
      <c r="J628" s="7">
        <v>15.99</v>
      </c>
      <c r="K628" s="7">
        <v>0</v>
      </c>
      <c r="L628" s="7">
        <v>23214.54</v>
      </c>
      <c r="M628" t="s">
        <v>1213</v>
      </c>
      <c r="N628" t="s">
        <v>55</v>
      </c>
      <c r="O628">
        <v>33</v>
      </c>
      <c r="P628" s="5" t="s">
        <v>1534</v>
      </c>
    </row>
    <row r="629" spans="1:16">
      <c r="A629" s="4">
        <v>46254</v>
      </c>
      <c r="B629" t="s">
        <v>798</v>
      </c>
      <c r="C629" s="5" t="s">
        <v>1513</v>
      </c>
      <c r="D629" t="s">
        <v>799</v>
      </c>
      <c r="E629" t="s">
        <v>3</v>
      </c>
      <c r="F629" t="s">
        <v>26</v>
      </c>
      <c r="G629" t="s">
        <v>35</v>
      </c>
      <c r="H629" s="5" t="s">
        <v>800</v>
      </c>
      <c r="I629" s="7">
        <v>-35.92</v>
      </c>
      <c r="J629" s="7">
        <v>35.92</v>
      </c>
      <c r="K629" s="7">
        <v>0</v>
      </c>
      <c r="L629" s="7">
        <v>23178.62</v>
      </c>
      <c r="M629" t="s">
        <v>1213</v>
      </c>
      <c r="N629" t="s">
        <v>55</v>
      </c>
      <c r="O629">
        <v>33</v>
      </c>
      <c r="P629" s="5" t="s">
        <v>1535</v>
      </c>
    </row>
    <row r="630" spans="1:16">
      <c r="A630" s="4">
        <v>46254</v>
      </c>
      <c r="B630" t="s">
        <v>318</v>
      </c>
      <c r="C630" s="5" t="s">
        <v>1536</v>
      </c>
      <c r="D630" t="s">
        <v>320</v>
      </c>
      <c r="E630" t="s">
        <v>6</v>
      </c>
      <c r="F630" t="s">
        <v>26</v>
      </c>
      <c r="G630" t="s">
        <v>35</v>
      </c>
      <c r="H630" s="5" t="s">
        <v>321</v>
      </c>
      <c r="I630" s="7">
        <v>-22.9</v>
      </c>
      <c r="J630" s="7">
        <v>22.9</v>
      </c>
      <c r="K630" s="7">
        <v>0</v>
      </c>
      <c r="L630" s="7">
        <v>23155.72</v>
      </c>
      <c r="M630" t="s">
        <v>1213</v>
      </c>
      <c r="N630" t="s">
        <v>55</v>
      </c>
      <c r="O630">
        <v>33</v>
      </c>
      <c r="P630" s="5" t="s">
        <v>1537</v>
      </c>
    </row>
    <row r="631" spans="1:16">
      <c r="A631" s="4">
        <v>46254</v>
      </c>
      <c r="B631" t="s">
        <v>318</v>
      </c>
      <c r="C631" s="5" t="s">
        <v>1538</v>
      </c>
      <c r="D631" t="s">
        <v>320</v>
      </c>
      <c r="E631" t="s">
        <v>6</v>
      </c>
      <c r="F631" t="s">
        <v>26</v>
      </c>
      <c r="G631" t="s">
        <v>35</v>
      </c>
      <c r="H631" s="5" t="s">
        <v>321</v>
      </c>
      <c r="I631" s="7">
        <v>-30.9</v>
      </c>
      <c r="J631" s="7">
        <v>30.9</v>
      </c>
      <c r="K631" s="7">
        <v>0</v>
      </c>
      <c r="L631" s="7">
        <v>23124.82</v>
      </c>
      <c r="M631" t="s">
        <v>1213</v>
      </c>
      <c r="N631" t="s">
        <v>55</v>
      </c>
      <c r="O631">
        <v>33</v>
      </c>
      <c r="P631" s="5" t="s">
        <v>1539</v>
      </c>
    </row>
    <row r="632" spans="1:16">
      <c r="A632" s="4">
        <v>46255</v>
      </c>
      <c r="B632" t="s">
        <v>1540</v>
      </c>
      <c r="C632" s="5" t="s">
        <v>1541</v>
      </c>
      <c r="D632" t="s">
        <v>1542</v>
      </c>
      <c r="E632" t="s">
        <v>17</v>
      </c>
      <c r="F632" t="s">
        <v>29</v>
      </c>
      <c r="G632" s="8" t="s">
        <v>36</v>
      </c>
      <c r="H632" s="5"/>
      <c r="I632" s="7">
        <v>-18.9</v>
      </c>
      <c r="J632" s="7">
        <v>18.9</v>
      </c>
      <c r="K632" s="7">
        <v>0</v>
      </c>
      <c r="L632" s="7">
        <v>23105.92</v>
      </c>
      <c r="M632" t="s">
        <v>1213</v>
      </c>
      <c r="N632" t="s">
        <v>55</v>
      </c>
      <c r="O632">
        <v>33</v>
      </c>
      <c r="P632" s="5" t="s">
        <v>1543</v>
      </c>
    </row>
    <row r="633" spans="1:16">
      <c r="A633" s="4">
        <v>46255</v>
      </c>
      <c r="B633" t="s">
        <v>1392</v>
      </c>
      <c r="C633" s="5" t="s">
        <v>1544</v>
      </c>
      <c r="D633" t="s">
        <v>1393</v>
      </c>
      <c r="E633" t="s">
        <v>3</v>
      </c>
      <c r="F633" t="s">
        <v>26</v>
      </c>
      <c r="G633" s="6" t="s">
        <v>34</v>
      </c>
      <c r="H633" s="5" t="s">
        <v>1394</v>
      </c>
      <c r="I633" s="7">
        <v>-4.05</v>
      </c>
      <c r="J633" s="7">
        <v>4.05</v>
      </c>
      <c r="K633" s="7">
        <v>0</v>
      </c>
      <c r="L633" s="7">
        <v>23101.87</v>
      </c>
      <c r="M633" t="s">
        <v>1213</v>
      </c>
      <c r="N633" t="s">
        <v>55</v>
      </c>
      <c r="O633">
        <v>33</v>
      </c>
      <c r="P633" s="5" t="s">
        <v>1545</v>
      </c>
    </row>
    <row r="634" spans="1:16">
      <c r="A634" s="4">
        <v>46255</v>
      </c>
      <c r="B634" t="s">
        <v>1546</v>
      </c>
      <c r="C634" s="5" t="s">
        <v>1544</v>
      </c>
      <c r="D634" t="s">
        <v>1547</v>
      </c>
      <c r="E634" t="s">
        <v>17</v>
      </c>
      <c r="F634" t="s">
        <v>29</v>
      </c>
      <c r="G634" s="8" t="s">
        <v>36</v>
      </c>
      <c r="H634" s="5"/>
      <c r="I634" s="7">
        <v>-55</v>
      </c>
      <c r="J634" s="7">
        <v>55</v>
      </c>
      <c r="K634" s="7">
        <v>0</v>
      </c>
      <c r="L634" s="7">
        <v>23046.87</v>
      </c>
      <c r="M634" t="s">
        <v>1213</v>
      </c>
      <c r="N634" t="s">
        <v>55</v>
      </c>
      <c r="O634">
        <v>33</v>
      </c>
      <c r="P634" s="5" t="s">
        <v>1548</v>
      </c>
    </row>
    <row r="635" spans="1:16">
      <c r="A635" s="4">
        <v>46255</v>
      </c>
      <c r="B635" t="s">
        <v>564</v>
      </c>
      <c r="C635" s="5" t="s">
        <v>1544</v>
      </c>
      <c r="D635" t="s">
        <v>566</v>
      </c>
      <c r="E635" t="s">
        <v>5</v>
      </c>
      <c r="F635" t="s">
        <v>25</v>
      </c>
      <c r="G635" t="s">
        <v>35</v>
      </c>
      <c r="H635" s="5" t="s">
        <v>567</v>
      </c>
      <c r="I635" s="7">
        <v>-45.64</v>
      </c>
      <c r="J635" s="7">
        <v>45.64</v>
      </c>
      <c r="K635" s="7">
        <v>0</v>
      </c>
      <c r="L635" s="7">
        <v>23001.23</v>
      </c>
      <c r="M635" t="s">
        <v>1213</v>
      </c>
      <c r="N635" t="s">
        <v>55</v>
      </c>
      <c r="O635">
        <v>34</v>
      </c>
      <c r="P635" s="5" t="s">
        <v>1549</v>
      </c>
    </row>
    <row r="636" spans="1:16">
      <c r="A636" s="4">
        <v>46255</v>
      </c>
      <c r="B636" t="s">
        <v>564</v>
      </c>
      <c r="C636" s="5" t="s">
        <v>1544</v>
      </c>
      <c r="D636" t="s">
        <v>566</v>
      </c>
      <c r="E636" t="s">
        <v>5</v>
      </c>
      <c r="F636" t="s">
        <v>25</v>
      </c>
      <c r="G636" t="s">
        <v>35</v>
      </c>
      <c r="H636" s="5" t="s">
        <v>567</v>
      </c>
      <c r="I636" s="7">
        <v>-5.08</v>
      </c>
      <c r="J636" s="7">
        <v>5.08</v>
      </c>
      <c r="K636" s="7">
        <v>0</v>
      </c>
      <c r="L636" s="7">
        <v>22996.15</v>
      </c>
      <c r="M636" t="s">
        <v>1213</v>
      </c>
      <c r="N636" t="s">
        <v>55</v>
      </c>
      <c r="O636">
        <v>34</v>
      </c>
      <c r="P636" s="5" t="s">
        <v>1550</v>
      </c>
    </row>
    <row r="637" spans="1:16">
      <c r="A637" s="4">
        <v>46255</v>
      </c>
      <c r="B637" t="s">
        <v>1505</v>
      </c>
      <c r="C637" s="5"/>
      <c r="D637" t="s">
        <v>1506</v>
      </c>
      <c r="E637" t="s">
        <v>21</v>
      </c>
      <c r="F637" t="s">
        <v>31</v>
      </c>
      <c r="G637" t="s">
        <v>37</v>
      </c>
      <c r="H637" s="5"/>
      <c r="I637" s="7">
        <v>160</v>
      </c>
      <c r="J637" s="7">
        <v>0</v>
      </c>
      <c r="K637" s="7">
        <v>160</v>
      </c>
      <c r="L637" s="7">
        <v>23156.15</v>
      </c>
      <c r="M637" t="s">
        <v>1213</v>
      </c>
      <c r="N637" t="s">
        <v>55</v>
      </c>
      <c r="O637">
        <v>34</v>
      </c>
      <c r="P637" s="5" t="s">
        <v>1551</v>
      </c>
    </row>
    <row r="638" spans="1:16">
      <c r="A638" s="4">
        <v>46256</v>
      </c>
      <c r="B638" t="s">
        <v>81</v>
      </c>
      <c r="C638" s="5" t="s">
        <v>1552</v>
      </c>
      <c r="D638" t="s">
        <v>83</v>
      </c>
      <c r="E638" t="s">
        <v>2</v>
      </c>
      <c r="F638" t="s">
        <v>25</v>
      </c>
      <c r="G638" t="s">
        <v>35</v>
      </c>
      <c r="H638" s="5" t="s">
        <v>84</v>
      </c>
      <c r="I638" s="7">
        <v>-37.3</v>
      </c>
      <c r="J638" s="7">
        <v>37.3</v>
      </c>
      <c r="K638" s="7">
        <v>0</v>
      </c>
      <c r="L638" s="7">
        <v>23118.85</v>
      </c>
      <c r="M638" t="s">
        <v>1213</v>
      </c>
      <c r="N638" t="s">
        <v>55</v>
      </c>
      <c r="O638">
        <v>34</v>
      </c>
      <c r="P638" s="5" t="s">
        <v>1553</v>
      </c>
    </row>
    <row r="639" spans="1:16">
      <c r="A639" s="4">
        <v>46256</v>
      </c>
      <c r="B639" t="s">
        <v>966</v>
      </c>
      <c r="C639" s="5" t="s">
        <v>1554</v>
      </c>
      <c r="D639" t="s">
        <v>100</v>
      </c>
      <c r="E639" t="s">
        <v>5</v>
      </c>
      <c r="F639" t="s">
        <v>25</v>
      </c>
      <c r="G639" t="s">
        <v>33</v>
      </c>
      <c r="H639" s="5" t="s">
        <v>968</v>
      </c>
      <c r="I639" s="7">
        <v>-4.49</v>
      </c>
      <c r="J639" s="7">
        <v>4.49</v>
      </c>
      <c r="K639" s="7">
        <v>0</v>
      </c>
      <c r="L639" s="7">
        <v>23114.36</v>
      </c>
      <c r="M639" t="s">
        <v>1213</v>
      </c>
      <c r="N639" t="s">
        <v>55</v>
      </c>
      <c r="O639">
        <v>34</v>
      </c>
      <c r="P639" s="5" t="s">
        <v>1555</v>
      </c>
    </row>
    <row r="640" spans="1:16">
      <c r="A640" s="4">
        <v>46256</v>
      </c>
      <c r="B640" t="s">
        <v>153</v>
      </c>
      <c r="C640" s="5" t="s">
        <v>1544</v>
      </c>
      <c r="D640" t="s">
        <v>154</v>
      </c>
      <c r="E640" t="s">
        <v>17</v>
      </c>
      <c r="F640" t="s">
        <v>29</v>
      </c>
      <c r="G640" s="8" t="s">
        <v>36</v>
      </c>
      <c r="H640" s="5"/>
      <c r="I640" s="7">
        <v>-3.04</v>
      </c>
      <c r="J640" s="7">
        <v>3.04</v>
      </c>
      <c r="K640" s="7">
        <v>0</v>
      </c>
      <c r="L640" s="7">
        <v>23111.32</v>
      </c>
      <c r="M640" t="s">
        <v>1213</v>
      </c>
      <c r="N640" t="s">
        <v>55</v>
      </c>
      <c r="O640">
        <v>34</v>
      </c>
      <c r="P640" s="5" t="s">
        <v>1556</v>
      </c>
    </row>
    <row r="641" spans="1:16">
      <c r="A641" s="4">
        <v>46256</v>
      </c>
      <c r="B641" t="s">
        <v>1392</v>
      </c>
      <c r="C641" s="5" t="s">
        <v>1554</v>
      </c>
      <c r="D641" t="s">
        <v>1393</v>
      </c>
      <c r="E641" t="s">
        <v>3</v>
      </c>
      <c r="F641" t="s">
        <v>26</v>
      </c>
      <c r="G641" s="6" t="s">
        <v>34</v>
      </c>
      <c r="H641" s="5" t="s">
        <v>1394</v>
      </c>
      <c r="I641" s="7">
        <v>-4.05</v>
      </c>
      <c r="J641" s="7">
        <v>4.05</v>
      </c>
      <c r="K641" s="7">
        <v>0</v>
      </c>
      <c r="L641" s="7">
        <v>23107.27</v>
      </c>
      <c r="M641" t="s">
        <v>1213</v>
      </c>
      <c r="N641" t="s">
        <v>55</v>
      </c>
      <c r="O641">
        <v>34</v>
      </c>
      <c r="P641" s="5" t="s">
        <v>1557</v>
      </c>
    </row>
    <row r="642" spans="1:16">
      <c r="A642" s="4">
        <v>46256</v>
      </c>
      <c r="B642" t="s">
        <v>1558</v>
      </c>
      <c r="C642" s="5" t="s">
        <v>1554</v>
      </c>
      <c r="D642" t="s">
        <v>1559</v>
      </c>
      <c r="E642" t="s">
        <v>3</v>
      </c>
      <c r="F642" t="s">
        <v>26</v>
      </c>
      <c r="G642" t="s">
        <v>33</v>
      </c>
      <c r="H642" s="5" t="s">
        <v>1560</v>
      </c>
      <c r="I642" s="7">
        <v>-13.9</v>
      </c>
      <c r="J642" s="7">
        <v>13.9</v>
      </c>
      <c r="K642" s="7">
        <v>0</v>
      </c>
      <c r="L642" s="7">
        <v>23093.37</v>
      </c>
      <c r="M642" t="s">
        <v>1213</v>
      </c>
      <c r="N642" t="s">
        <v>55</v>
      </c>
      <c r="O642">
        <v>34</v>
      </c>
      <c r="P642" s="5" t="s">
        <v>1561</v>
      </c>
    </row>
    <row r="643" spans="1:16">
      <c r="A643" s="4">
        <v>46256</v>
      </c>
      <c r="B643" t="s">
        <v>1432</v>
      </c>
      <c r="C643" s="5"/>
      <c r="D643" t="s">
        <v>1433</v>
      </c>
      <c r="E643" t="s">
        <v>7</v>
      </c>
      <c r="F643" t="s">
        <v>25</v>
      </c>
      <c r="G643" t="s">
        <v>35</v>
      </c>
      <c r="H643" s="5" t="s">
        <v>1434</v>
      </c>
      <c r="I643" s="7">
        <v>-90</v>
      </c>
      <c r="J643" s="7">
        <v>90</v>
      </c>
      <c r="K643" s="7">
        <v>0</v>
      </c>
      <c r="L643" s="7">
        <v>23003.37</v>
      </c>
      <c r="M643" t="s">
        <v>1213</v>
      </c>
      <c r="N643" t="s">
        <v>55</v>
      </c>
      <c r="O643">
        <v>34</v>
      </c>
      <c r="P643" s="5" t="s">
        <v>1562</v>
      </c>
    </row>
    <row r="644" spans="1:16">
      <c r="A644" s="4">
        <v>46256</v>
      </c>
      <c r="B644" t="s">
        <v>1563</v>
      </c>
      <c r="C644" s="5"/>
      <c r="D644" t="s">
        <v>1563</v>
      </c>
      <c r="E644" t="s">
        <v>3</v>
      </c>
      <c r="F644" t="s">
        <v>26</v>
      </c>
      <c r="G644" t="s">
        <v>35</v>
      </c>
      <c r="H644" s="5" t="s">
        <v>1220</v>
      </c>
      <c r="I644" s="7">
        <v>-30.34</v>
      </c>
      <c r="J644" s="7">
        <v>30.34</v>
      </c>
      <c r="K644" s="7">
        <v>0</v>
      </c>
      <c r="L644" s="7">
        <v>22973.03</v>
      </c>
      <c r="M644" t="s">
        <v>1213</v>
      </c>
      <c r="N644" t="s">
        <v>55</v>
      </c>
      <c r="O644">
        <v>34</v>
      </c>
      <c r="P644" s="5" t="s">
        <v>1564</v>
      </c>
    </row>
    <row r="645" spans="1:16">
      <c r="A645" s="4">
        <v>46256</v>
      </c>
      <c r="B645" t="s">
        <v>1565</v>
      </c>
      <c r="C645" s="5"/>
      <c r="D645" t="s">
        <v>1566</v>
      </c>
      <c r="E645" t="s">
        <v>3</v>
      </c>
      <c r="F645" t="s">
        <v>26</v>
      </c>
      <c r="G645" t="s">
        <v>35</v>
      </c>
      <c r="H645" s="5" t="s">
        <v>75</v>
      </c>
      <c r="I645" s="7">
        <v>-5.05</v>
      </c>
      <c r="J645" s="7">
        <v>5.05</v>
      </c>
      <c r="K645" s="7">
        <v>0</v>
      </c>
      <c r="L645" s="7">
        <v>22967.98</v>
      </c>
      <c r="M645" t="s">
        <v>1213</v>
      </c>
      <c r="N645" t="s">
        <v>55</v>
      </c>
      <c r="O645">
        <v>34</v>
      </c>
      <c r="P645" s="5" t="s">
        <v>1567</v>
      </c>
    </row>
    <row r="646" spans="1:16">
      <c r="A646" s="4">
        <v>46257</v>
      </c>
      <c r="B646" t="s">
        <v>1568</v>
      </c>
      <c r="C646" s="5"/>
      <c r="D646" t="s">
        <v>1569</v>
      </c>
      <c r="E646" t="s">
        <v>17</v>
      </c>
      <c r="F646" t="s">
        <v>29</v>
      </c>
      <c r="G646" s="8" t="s">
        <v>36</v>
      </c>
      <c r="H646" s="5"/>
      <c r="I646" s="7">
        <v>-5.09</v>
      </c>
      <c r="J646" s="7">
        <v>5.09</v>
      </c>
      <c r="K646" s="7">
        <v>0</v>
      </c>
      <c r="L646" s="7">
        <v>22962.89</v>
      </c>
      <c r="M646" t="s">
        <v>1213</v>
      </c>
      <c r="N646" t="s">
        <v>55</v>
      </c>
      <c r="O646">
        <v>34</v>
      </c>
      <c r="P646" s="5" t="s">
        <v>1570</v>
      </c>
    </row>
    <row r="647" spans="1:16">
      <c r="A647" s="4">
        <v>46257</v>
      </c>
      <c r="B647" t="s">
        <v>1571</v>
      </c>
      <c r="C647" s="5"/>
      <c r="D647" t="s">
        <v>1572</v>
      </c>
      <c r="E647" t="s">
        <v>17</v>
      </c>
      <c r="F647" t="s">
        <v>29</v>
      </c>
      <c r="G647" s="8" t="s">
        <v>36</v>
      </c>
      <c r="H647" s="5"/>
      <c r="I647" s="7">
        <v>-12</v>
      </c>
      <c r="J647" s="7">
        <v>12</v>
      </c>
      <c r="K647" s="7">
        <v>0</v>
      </c>
      <c r="L647" s="7">
        <v>22950.89</v>
      </c>
      <c r="M647" t="s">
        <v>1213</v>
      </c>
      <c r="N647" t="s">
        <v>55</v>
      </c>
      <c r="O647">
        <v>34</v>
      </c>
      <c r="P647" s="5" t="s">
        <v>1573</v>
      </c>
    </row>
    <row r="648" spans="1:16">
      <c r="A648" s="4">
        <v>46258</v>
      </c>
      <c r="B648" t="s">
        <v>133</v>
      </c>
      <c r="C648" s="5"/>
      <c r="D648" t="s">
        <v>83</v>
      </c>
      <c r="E648" t="s">
        <v>2</v>
      </c>
      <c r="F648" t="s">
        <v>25</v>
      </c>
      <c r="G648" t="s">
        <v>35</v>
      </c>
      <c r="H648" s="5" t="s">
        <v>84</v>
      </c>
      <c r="I648" s="7">
        <v>-9.050000000000001</v>
      </c>
      <c r="J648" s="7">
        <v>9.050000000000001</v>
      </c>
      <c r="K648" s="7">
        <v>0</v>
      </c>
      <c r="L648" s="7">
        <v>22941.84</v>
      </c>
      <c r="M648" t="s">
        <v>1213</v>
      </c>
      <c r="N648" t="s">
        <v>55</v>
      </c>
      <c r="O648">
        <v>34</v>
      </c>
      <c r="P648" s="5" t="s">
        <v>1574</v>
      </c>
    </row>
    <row r="649" spans="1:16">
      <c r="A649" s="4">
        <v>46259</v>
      </c>
      <c r="B649" t="s">
        <v>1575</v>
      </c>
      <c r="C649" s="5" t="s">
        <v>1576</v>
      </c>
      <c r="D649" t="s">
        <v>1577</v>
      </c>
      <c r="E649" t="s">
        <v>17</v>
      </c>
      <c r="F649" t="s">
        <v>29</v>
      </c>
      <c r="G649" s="8" t="s">
        <v>36</v>
      </c>
      <c r="H649" s="5"/>
      <c r="I649" s="7">
        <v>-50.88</v>
      </c>
      <c r="J649" s="7">
        <v>50.88</v>
      </c>
      <c r="K649" s="7">
        <v>0</v>
      </c>
      <c r="L649" s="7">
        <v>22890.96</v>
      </c>
      <c r="M649" t="s">
        <v>1213</v>
      </c>
      <c r="N649" t="s">
        <v>55</v>
      </c>
      <c r="O649">
        <v>34</v>
      </c>
      <c r="P649" s="5" t="s">
        <v>1578</v>
      </c>
    </row>
    <row r="650" spans="1:16">
      <c r="A650" s="4">
        <v>46259</v>
      </c>
      <c r="B650" t="s">
        <v>1380</v>
      </c>
      <c r="C650" s="5" t="s">
        <v>1576</v>
      </c>
      <c r="D650" t="s">
        <v>1382</v>
      </c>
      <c r="E650" t="s">
        <v>3</v>
      </c>
      <c r="F650" t="s">
        <v>26</v>
      </c>
      <c r="G650" t="s">
        <v>35</v>
      </c>
      <c r="H650" s="5" t="s">
        <v>207</v>
      </c>
      <c r="I650" s="7">
        <v>-19.28</v>
      </c>
      <c r="J650" s="7">
        <v>19.28</v>
      </c>
      <c r="K650" s="7">
        <v>0</v>
      </c>
      <c r="L650" s="7">
        <v>22871.68</v>
      </c>
      <c r="M650" t="s">
        <v>1213</v>
      </c>
      <c r="N650" t="s">
        <v>55</v>
      </c>
      <c r="O650">
        <v>34</v>
      </c>
      <c r="P650" s="5" t="s">
        <v>1579</v>
      </c>
    </row>
    <row r="651" spans="1:16">
      <c r="A651" s="4">
        <v>46259</v>
      </c>
      <c r="B651" t="s">
        <v>81</v>
      </c>
      <c r="C651" s="5" t="s">
        <v>1580</v>
      </c>
      <c r="D651" t="s">
        <v>83</v>
      </c>
      <c r="E651" t="s">
        <v>2</v>
      </c>
      <c r="F651" t="s">
        <v>25</v>
      </c>
      <c r="G651" t="s">
        <v>35</v>
      </c>
      <c r="H651" s="5" t="s">
        <v>84</v>
      </c>
      <c r="I651" s="7">
        <v>-26.8</v>
      </c>
      <c r="J651" s="7">
        <v>26.8</v>
      </c>
      <c r="K651" s="7">
        <v>0</v>
      </c>
      <c r="L651" s="7">
        <v>22844.88</v>
      </c>
      <c r="M651" t="s">
        <v>1213</v>
      </c>
      <c r="N651" t="s">
        <v>55</v>
      </c>
      <c r="O651">
        <v>34</v>
      </c>
      <c r="P651" s="5" t="s">
        <v>1581</v>
      </c>
    </row>
    <row r="652" spans="1:16">
      <c r="A652" s="4">
        <v>46259</v>
      </c>
      <c r="B652" t="s">
        <v>1582</v>
      </c>
      <c r="C652" s="5" t="s">
        <v>1580</v>
      </c>
      <c r="D652" t="s">
        <v>1583</v>
      </c>
      <c r="E652" t="s">
        <v>3</v>
      </c>
      <c r="F652" t="s">
        <v>26</v>
      </c>
      <c r="G652" t="s">
        <v>35</v>
      </c>
      <c r="H652" s="5" t="s">
        <v>1220</v>
      </c>
      <c r="I652" s="7">
        <v>-94.59999999999999</v>
      </c>
      <c r="J652" s="7">
        <v>94.59999999999999</v>
      </c>
      <c r="K652" s="7">
        <v>0</v>
      </c>
      <c r="L652" s="7">
        <v>22750.28</v>
      </c>
      <c r="M652" t="s">
        <v>1213</v>
      </c>
      <c r="N652" t="s">
        <v>55</v>
      </c>
      <c r="O652">
        <v>34</v>
      </c>
      <c r="P652" s="5" t="s">
        <v>1584</v>
      </c>
    </row>
    <row r="653" spans="1:16">
      <c r="A653" s="4">
        <v>46259</v>
      </c>
      <c r="B653" t="s">
        <v>200</v>
      </c>
      <c r="C653" s="5" t="s">
        <v>1585</v>
      </c>
      <c r="D653" t="s">
        <v>202</v>
      </c>
      <c r="E653" t="s">
        <v>3</v>
      </c>
      <c r="F653" t="s">
        <v>26</v>
      </c>
      <c r="G653" t="s">
        <v>35</v>
      </c>
      <c r="H653" s="5" t="s">
        <v>203</v>
      </c>
      <c r="I653" s="7">
        <v>-75</v>
      </c>
      <c r="J653" s="7">
        <v>75</v>
      </c>
      <c r="K653" s="7">
        <v>0</v>
      </c>
      <c r="L653" s="7">
        <v>22675.28</v>
      </c>
      <c r="M653" t="s">
        <v>1213</v>
      </c>
      <c r="N653" t="s">
        <v>55</v>
      </c>
      <c r="O653">
        <v>34</v>
      </c>
      <c r="P653" s="5" t="s">
        <v>1586</v>
      </c>
    </row>
    <row r="654" spans="1:16">
      <c r="A654" s="4">
        <v>46259</v>
      </c>
      <c r="B654" t="s">
        <v>1587</v>
      </c>
      <c r="C654" s="5" t="s">
        <v>1588</v>
      </c>
      <c r="D654" t="s">
        <v>1589</v>
      </c>
      <c r="E654" t="s">
        <v>3</v>
      </c>
      <c r="F654" t="s">
        <v>26</v>
      </c>
      <c r="G654" t="s">
        <v>35</v>
      </c>
      <c r="H654" s="5" t="s">
        <v>1590</v>
      </c>
      <c r="I654" s="7">
        <v>-20.95</v>
      </c>
      <c r="J654" s="7">
        <v>20.95</v>
      </c>
      <c r="K654" s="7">
        <v>0</v>
      </c>
      <c r="L654" s="7">
        <v>22654.33</v>
      </c>
      <c r="M654" t="s">
        <v>1213</v>
      </c>
      <c r="N654" t="s">
        <v>55</v>
      </c>
      <c r="O654">
        <v>35</v>
      </c>
      <c r="P654" s="5" t="s">
        <v>1591</v>
      </c>
    </row>
    <row r="655" spans="1:16">
      <c r="A655" s="4">
        <v>46259</v>
      </c>
      <c r="B655" t="s">
        <v>1592</v>
      </c>
      <c r="C655" s="5" t="s">
        <v>1588</v>
      </c>
      <c r="D655" t="s">
        <v>1593</v>
      </c>
      <c r="E655" t="s">
        <v>17</v>
      </c>
      <c r="F655" t="s">
        <v>29</v>
      </c>
      <c r="G655" s="8" t="s">
        <v>36</v>
      </c>
      <c r="H655" s="5"/>
      <c r="I655" s="7">
        <v>-2</v>
      </c>
      <c r="J655" s="7">
        <v>2</v>
      </c>
      <c r="K655" s="7">
        <v>0</v>
      </c>
      <c r="L655" s="7">
        <v>22652.33</v>
      </c>
      <c r="M655" t="s">
        <v>1213</v>
      </c>
      <c r="N655" t="s">
        <v>55</v>
      </c>
      <c r="O655">
        <v>35</v>
      </c>
      <c r="P655" s="5" t="s">
        <v>1594</v>
      </c>
    </row>
    <row r="656" spans="1:16">
      <c r="A656" s="4">
        <v>46259</v>
      </c>
      <c r="B656" t="s">
        <v>966</v>
      </c>
      <c r="C656" s="5" t="s">
        <v>1588</v>
      </c>
      <c r="D656" t="s">
        <v>100</v>
      </c>
      <c r="E656" t="s">
        <v>5</v>
      </c>
      <c r="F656" t="s">
        <v>25</v>
      </c>
      <c r="G656" t="s">
        <v>33</v>
      </c>
      <c r="H656" s="5" t="s">
        <v>968</v>
      </c>
      <c r="I656" s="7">
        <v>-4.03</v>
      </c>
      <c r="J656" s="7">
        <v>4.03</v>
      </c>
      <c r="K656" s="7">
        <v>0</v>
      </c>
      <c r="L656" s="7">
        <v>22648.3</v>
      </c>
      <c r="M656" t="s">
        <v>1213</v>
      </c>
      <c r="N656" t="s">
        <v>55</v>
      </c>
      <c r="O656">
        <v>35</v>
      </c>
      <c r="P656" s="5" t="s">
        <v>1595</v>
      </c>
    </row>
    <row r="657" spans="1:16">
      <c r="A657" s="4">
        <v>46259</v>
      </c>
      <c r="B657" t="s">
        <v>81</v>
      </c>
      <c r="C657" s="5" t="s">
        <v>1596</v>
      </c>
      <c r="D657" t="s">
        <v>83</v>
      </c>
      <c r="E657" t="s">
        <v>2</v>
      </c>
      <c r="F657" t="s">
        <v>25</v>
      </c>
      <c r="G657" t="s">
        <v>35</v>
      </c>
      <c r="H657" s="5" t="s">
        <v>84</v>
      </c>
      <c r="I657" s="7">
        <v>-68.59999999999999</v>
      </c>
      <c r="J657" s="7">
        <v>68.59999999999999</v>
      </c>
      <c r="K657" s="7">
        <v>0</v>
      </c>
      <c r="L657" s="7">
        <v>22579.7</v>
      </c>
      <c r="M657" t="s">
        <v>1213</v>
      </c>
      <c r="N657" t="s">
        <v>55</v>
      </c>
      <c r="O657">
        <v>35</v>
      </c>
      <c r="P657" s="5" t="s">
        <v>1597</v>
      </c>
    </row>
    <row r="658" spans="1:16">
      <c r="A658" s="4">
        <v>46259</v>
      </c>
      <c r="B658" t="s">
        <v>1598</v>
      </c>
      <c r="C658" s="5" t="s">
        <v>1588</v>
      </c>
      <c r="D658" t="s">
        <v>1599</v>
      </c>
      <c r="E658" t="s">
        <v>8</v>
      </c>
      <c r="F658" t="s">
        <v>26</v>
      </c>
      <c r="G658" t="s">
        <v>33</v>
      </c>
      <c r="H658" s="5" t="s">
        <v>1600</v>
      </c>
      <c r="I658" s="7">
        <v>-34.81</v>
      </c>
      <c r="J658" s="7">
        <v>34.81</v>
      </c>
      <c r="K658" s="7">
        <v>0</v>
      </c>
      <c r="L658" s="7">
        <v>22544.89</v>
      </c>
      <c r="M658" t="s">
        <v>1213</v>
      </c>
      <c r="N658" t="s">
        <v>55</v>
      </c>
      <c r="O658">
        <v>35</v>
      </c>
      <c r="P658" s="5" t="s">
        <v>1601</v>
      </c>
    </row>
    <row r="659" spans="1:16">
      <c r="A659" s="4">
        <v>46259</v>
      </c>
      <c r="B659" t="s">
        <v>1501</v>
      </c>
      <c r="C659" s="5" t="s">
        <v>1588</v>
      </c>
      <c r="D659" t="s">
        <v>538</v>
      </c>
      <c r="E659" t="s">
        <v>3</v>
      </c>
      <c r="F659" t="s">
        <v>26</v>
      </c>
      <c r="G659" t="s">
        <v>35</v>
      </c>
      <c r="H659" s="5" t="s">
        <v>539</v>
      </c>
      <c r="I659" s="7">
        <v>-5.08</v>
      </c>
      <c r="J659" s="7">
        <v>5.08</v>
      </c>
      <c r="K659" s="7">
        <v>0</v>
      </c>
      <c r="L659" s="7">
        <v>22539.81</v>
      </c>
      <c r="M659" t="s">
        <v>1213</v>
      </c>
      <c r="N659" t="s">
        <v>55</v>
      </c>
      <c r="O659">
        <v>35</v>
      </c>
      <c r="P659" s="5" t="s">
        <v>1602</v>
      </c>
    </row>
    <row r="660" spans="1:16">
      <c r="A660" s="4">
        <v>46259</v>
      </c>
      <c r="B660" t="s">
        <v>1260</v>
      </c>
      <c r="C660" s="5" t="s">
        <v>1588</v>
      </c>
      <c r="D660" t="s">
        <v>1261</v>
      </c>
      <c r="E660" t="s">
        <v>3</v>
      </c>
      <c r="F660" t="s">
        <v>26</v>
      </c>
      <c r="G660" t="s">
        <v>35</v>
      </c>
      <c r="H660" s="5" t="s">
        <v>341</v>
      </c>
      <c r="I660" s="7">
        <v>-15</v>
      </c>
      <c r="J660" s="7">
        <v>15</v>
      </c>
      <c r="K660" s="7">
        <v>0</v>
      </c>
      <c r="L660" s="7">
        <v>22524.81</v>
      </c>
      <c r="M660" t="s">
        <v>1213</v>
      </c>
      <c r="N660" t="s">
        <v>55</v>
      </c>
      <c r="O660">
        <v>35</v>
      </c>
      <c r="P660" s="5" t="s">
        <v>1603</v>
      </c>
    </row>
    <row r="661" spans="1:16">
      <c r="A661" s="4">
        <v>46259</v>
      </c>
      <c r="B661" t="s">
        <v>149</v>
      </c>
      <c r="C661" s="5" t="s">
        <v>1554</v>
      </c>
      <c r="D661" t="s">
        <v>150</v>
      </c>
      <c r="E661" t="s">
        <v>3</v>
      </c>
      <c r="F661" t="s">
        <v>26</v>
      </c>
      <c r="G661" s="6" t="s">
        <v>34</v>
      </c>
      <c r="H661" s="5" t="s">
        <v>151</v>
      </c>
      <c r="I661" s="7">
        <v>-6.07</v>
      </c>
      <c r="J661" s="7">
        <v>6.07</v>
      </c>
      <c r="K661" s="7">
        <v>0</v>
      </c>
      <c r="L661" s="7">
        <v>22518.74</v>
      </c>
      <c r="M661" t="s">
        <v>1213</v>
      </c>
      <c r="N661" t="s">
        <v>55</v>
      </c>
      <c r="O661">
        <v>35</v>
      </c>
      <c r="P661" s="5" t="s">
        <v>1604</v>
      </c>
    </row>
    <row r="662" spans="1:16">
      <c r="A662" s="4">
        <v>46259</v>
      </c>
      <c r="B662" t="s">
        <v>1392</v>
      </c>
      <c r="C662" s="5" t="s">
        <v>1605</v>
      </c>
      <c r="D662" t="s">
        <v>1393</v>
      </c>
      <c r="E662" t="s">
        <v>3</v>
      </c>
      <c r="F662" t="s">
        <v>26</v>
      </c>
      <c r="G662" s="6" t="s">
        <v>34</v>
      </c>
      <c r="H662" s="5" t="s">
        <v>1394</v>
      </c>
      <c r="I662" s="7">
        <v>-4.05</v>
      </c>
      <c r="J662" s="7">
        <v>4.05</v>
      </c>
      <c r="K662" s="7">
        <v>0</v>
      </c>
      <c r="L662" s="7">
        <v>22514.69</v>
      </c>
      <c r="M662" t="s">
        <v>1213</v>
      </c>
      <c r="N662" t="s">
        <v>55</v>
      </c>
      <c r="O662">
        <v>35</v>
      </c>
      <c r="P662" s="5" t="s">
        <v>1606</v>
      </c>
    </row>
    <row r="663" spans="1:16">
      <c r="A663" s="4">
        <v>46259</v>
      </c>
      <c r="B663" t="s">
        <v>1607</v>
      </c>
      <c r="C663" s="5" t="s">
        <v>1605</v>
      </c>
      <c r="D663" t="s">
        <v>1608</v>
      </c>
      <c r="E663" t="s">
        <v>17</v>
      </c>
      <c r="F663" t="s">
        <v>29</v>
      </c>
      <c r="G663" s="8" t="s">
        <v>36</v>
      </c>
      <c r="H663" s="5"/>
      <c r="I663" s="7">
        <v>-20.2</v>
      </c>
      <c r="J663" s="7">
        <v>20.2</v>
      </c>
      <c r="K663" s="7">
        <v>0</v>
      </c>
      <c r="L663" s="7">
        <v>22494.49</v>
      </c>
      <c r="M663" t="s">
        <v>1213</v>
      </c>
      <c r="N663" t="s">
        <v>55</v>
      </c>
      <c r="O663">
        <v>35</v>
      </c>
      <c r="P663" s="5" t="s">
        <v>1609</v>
      </c>
    </row>
    <row r="664" spans="1:16">
      <c r="A664" s="4">
        <v>46259</v>
      </c>
      <c r="B664" t="s">
        <v>1432</v>
      </c>
      <c r="C664" s="5"/>
      <c r="D664" t="s">
        <v>1433</v>
      </c>
      <c r="E664" t="s">
        <v>7</v>
      </c>
      <c r="F664" t="s">
        <v>25</v>
      </c>
      <c r="G664" t="s">
        <v>35</v>
      </c>
      <c r="H664" s="5" t="s">
        <v>1434</v>
      </c>
      <c r="I664" s="7">
        <v>-90</v>
      </c>
      <c r="J664" s="7">
        <v>90</v>
      </c>
      <c r="K664" s="7">
        <v>0</v>
      </c>
      <c r="L664" s="7">
        <v>22404.49</v>
      </c>
      <c r="M664" t="s">
        <v>1213</v>
      </c>
      <c r="N664" t="s">
        <v>55</v>
      </c>
      <c r="O664">
        <v>35</v>
      </c>
      <c r="P664" s="5" t="s">
        <v>1610</v>
      </c>
    </row>
    <row r="665" spans="1:16">
      <c r="A665" s="4">
        <v>46259</v>
      </c>
      <c r="B665" t="s">
        <v>133</v>
      </c>
      <c r="C665" s="5"/>
      <c r="D665" t="s">
        <v>83</v>
      </c>
      <c r="E665" t="s">
        <v>2</v>
      </c>
      <c r="F665" t="s">
        <v>25</v>
      </c>
      <c r="G665" t="s">
        <v>35</v>
      </c>
      <c r="H665" s="5" t="s">
        <v>84</v>
      </c>
      <c r="I665" s="7">
        <v>-3.82</v>
      </c>
      <c r="J665" s="7">
        <v>3.82</v>
      </c>
      <c r="K665" s="7">
        <v>0</v>
      </c>
      <c r="L665" s="7">
        <v>22400.67</v>
      </c>
      <c r="M665" t="s">
        <v>1213</v>
      </c>
      <c r="N665" t="s">
        <v>55</v>
      </c>
      <c r="O665">
        <v>35</v>
      </c>
      <c r="P665" s="5" t="s">
        <v>1611</v>
      </c>
    </row>
    <row r="666" spans="1:16">
      <c r="A666" s="4">
        <v>46259</v>
      </c>
      <c r="B666" t="s">
        <v>1612</v>
      </c>
      <c r="C666" s="5"/>
      <c r="D666" t="s">
        <v>1613</v>
      </c>
      <c r="E666" t="s">
        <v>2</v>
      </c>
      <c r="F666" t="s">
        <v>25</v>
      </c>
      <c r="G666" t="s">
        <v>33</v>
      </c>
      <c r="H666" s="5" t="s">
        <v>1614</v>
      </c>
      <c r="I666" s="7">
        <v>-32.09</v>
      </c>
      <c r="J666" s="7">
        <v>32.09</v>
      </c>
      <c r="K666" s="7">
        <v>0</v>
      </c>
      <c r="L666" s="7">
        <v>22368.58</v>
      </c>
      <c r="M666" t="s">
        <v>1213</v>
      </c>
      <c r="N666" t="s">
        <v>55</v>
      </c>
      <c r="O666">
        <v>35</v>
      </c>
      <c r="P666" s="5" t="s">
        <v>1615</v>
      </c>
    </row>
    <row r="667" spans="1:16">
      <c r="A667" s="4">
        <v>46259</v>
      </c>
      <c r="B667" t="s">
        <v>742</v>
      </c>
      <c r="C667" s="5"/>
      <c r="D667" t="s">
        <v>742</v>
      </c>
      <c r="E667" t="s">
        <v>17</v>
      </c>
      <c r="F667" t="s">
        <v>29</v>
      </c>
      <c r="G667" s="8" t="s">
        <v>36</v>
      </c>
      <c r="H667" s="5"/>
      <c r="I667" s="7">
        <v>-6.2</v>
      </c>
      <c r="J667" s="7">
        <v>6.2</v>
      </c>
      <c r="K667" s="7">
        <v>0</v>
      </c>
      <c r="L667" s="7">
        <v>22362.38</v>
      </c>
      <c r="M667" t="s">
        <v>1213</v>
      </c>
      <c r="N667" t="s">
        <v>55</v>
      </c>
      <c r="O667">
        <v>35</v>
      </c>
      <c r="P667" s="5" t="s">
        <v>1616</v>
      </c>
    </row>
    <row r="668" spans="1:16">
      <c r="A668" s="4">
        <v>46259</v>
      </c>
      <c r="B668" t="s">
        <v>1505</v>
      </c>
      <c r="C668" s="5"/>
      <c r="D668" t="s">
        <v>1506</v>
      </c>
      <c r="E668" t="s">
        <v>21</v>
      </c>
      <c r="F668" t="s">
        <v>31</v>
      </c>
      <c r="G668" t="s">
        <v>37</v>
      </c>
      <c r="H668" s="5"/>
      <c r="I668" s="7">
        <v>67.59999999999999</v>
      </c>
      <c r="J668" s="7">
        <v>0</v>
      </c>
      <c r="K668" s="7">
        <v>67.59999999999999</v>
      </c>
      <c r="L668" s="7">
        <v>22429.98</v>
      </c>
      <c r="M668" t="s">
        <v>1213</v>
      </c>
      <c r="N668" t="s">
        <v>55</v>
      </c>
      <c r="O668">
        <v>35</v>
      </c>
      <c r="P668" s="5" t="s">
        <v>1617</v>
      </c>
    </row>
    <row r="669" spans="1:16">
      <c r="A669" s="4">
        <v>46260</v>
      </c>
      <c r="B669" t="s">
        <v>174</v>
      </c>
      <c r="C669" s="5" t="s">
        <v>1618</v>
      </c>
      <c r="D669" t="s">
        <v>175</v>
      </c>
      <c r="E669" t="s">
        <v>8</v>
      </c>
      <c r="F669" t="s">
        <v>26</v>
      </c>
      <c r="G669" t="s">
        <v>35</v>
      </c>
      <c r="H669" s="5" t="s">
        <v>176</v>
      </c>
      <c r="I669" s="7">
        <v>-41.94</v>
      </c>
      <c r="J669" s="7">
        <v>41.94</v>
      </c>
      <c r="K669" s="7">
        <v>0</v>
      </c>
      <c r="L669" s="7">
        <v>22388.04</v>
      </c>
      <c r="M669" t="s">
        <v>1213</v>
      </c>
      <c r="N669" t="s">
        <v>55</v>
      </c>
      <c r="O669">
        <v>35</v>
      </c>
      <c r="P669" s="5" t="s">
        <v>1619</v>
      </c>
    </row>
    <row r="670" spans="1:16">
      <c r="A670" s="4">
        <v>46260</v>
      </c>
      <c r="B670" t="s">
        <v>174</v>
      </c>
      <c r="C670" s="5" t="s">
        <v>1620</v>
      </c>
      <c r="D670" t="s">
        <v>175</v>
      </c>
      <c r="E670" t="s">
        <v>8</v>
      </c>
      <c r="F670" t="s">
        <v>26</v>
      </c>
      <c r="G670" t="s">
        <v>35</v>
      </c>
      <c r="H670" s="5" t="s">
        <v>176</v>
      </c>
      <c r="I670" s="7">
        <v>-16.7</v>
      </c>
      <c r="J670" s="7">
        <v>16.7</v>
      </c>
      <c r="K670" s="7">
        <v>0</v>
      </c>
      <c r="L670" s="7">
        <v>22371.34</v>
      </c>
      <c r="M670" t="s">
        <v>1213</v>
      </c>
      <c r="N670" t="s">
        <v>55</v>
      </c>
      <c r="O670">
        <v>35</v>
      </c>
      <c r="P670" s="5" t="s">
        <v>1621</v>
      </c>
    </row>
    <row r="671" spans="1:16">
      <c r="A671" s="4">
        <v>46260</v>
      </c>
      <c r="B671" t="s">
        <v>280</v>
      </c>
      <c r="C671" s="5" t="s">
        <v>1620</v>
      </c>
      <c r="D671" t="s">
        <v>282</v>
      </c>
      <c r="E671" t="s">
        <v>8</v>
      </c>
      <c r="F671" t="s">
        <v>26</v>
      </c>
      <c r="G671" t="s">
        <v>35</v>
      </c>
      <c r="H671" s="5" t="s">
        <v>176</v>
      </c>
      <c r="I671" s="7">
        <v>-24.89</v>
      </c>
      <c r="J671" s="7">
        <v>24.89</v>
      </c>
      <c r="K671" s="7">
        <v>0</v>
      </c>
      <c r="L671" s="7">
        <v>22346.45</v>
      </c>
      <c r="M671" t="s">
        <v>1213</v>
      </c>
      <c r="N671" t="s">
        <v>55</v>
      </c>
      <c r="O671">
        <v>35</v>
      </c>
      <c r="P671" s="5" t="s">
        <v>1622</v>
      </c>
    </row>
    <row r="672" spans="1:16">
      <c r="A672" s="4">
        <v>46260</v>
      </c>
      <c r="B672" t="s">
        <v>1623</v>
      </c>
      <c r="C672" s="5" t="s">
        <v>1620</v>
      </c>
      <c r="D672" t="s">
        <v>1624</v>
      </c>
      <c r="E672" t="s">
        <v>15</v>
      </c>
      <c r="F672" t="s">
        <v>27</v>
      </c>
      <c r="G672" t="s">
        <v>35</v>
      </c>
      <c r="H672" s="5" t="s">
        <v>1625</v>
      </c>
      <c r="I672" s="7">
        <v>-418</v>
      </c>
      <c r="J672" s="7">
        <v>418</v>
      </c>
      <c r="K672" s="7">
        <v>0</v>
      </c>
      <c r="L672" s="7">
        <v>21928.45</v>
      </c>
      <c r="M672" t="s">
        <v>1213</v>
      </c>
      <c r="N672" t="s">
        <v>55</v>
      </c>
      <c r="O672">
        <v>36</v>
      </c>
      <c r="P672" s="5" t="s">
        <v>1626</v>
      </c>
    </row>
    <row r="673" spans="1:16">
      <c r="A673" s="4">
        <v>46260</v>
      </c>
      <c r="B673" t="s">
        <v>174</v>
      </c>
      <c r="C673" s="5" t="s">
        <v>1620</v>
      </c>
      <c r="D673" t="s">
        <v>175</v>
      </c>
      <c r="E673" t="s">
        <v>8</v>
      </c>
      <c r="F673" t="s">
        <v>26</v>
      </c>
      <c r="G673" t="s">
        <v>35</v>
      </c>
      <c r="H673" s="5" t="s">
        <v>176</v>
      </c>
      <c r="I673" s="7">
        <v>-22.79</v>
      </c>
      <c r="J673" s="7">
        <v>22.79</v>
      </c>
      <c r="K673" s="7">
        <v>0</v>
      </c>
      <c r="L673" s="7">
        <v>21905.66</v>
      </c>
      <c r="M673" t="s">
        <v>1213</v>
      </c>
      <c r="N673" t="s">
        <v>55</v>
      </c>
      <c r="O673">
        <v>36</v>
      </c>
      <c r="P673" s="5" t="s">
        <v>1627</v>
      </c>
    </row>
    <row r="674" spans="1:16">
      <c r="A674" s="4">
        <v>46260</v>
      </c>
      <c r="B674" t="s">
        <v>1392</v>
      </c>
      <c r="C674" s="5" t="s">
        <v>1628</v>
      </c>
      <c r="D674" t="s">
        <v>1393</v>
      </c>
      <c r="E674" t="s">
        <v>3</v>
      </c>
      <c r="F674" t="s">
        <v>26</v>
      </c>
      <c r="G674" s="6" t="s">
        <v>34</v>
      </c>
      <c r="H674" s="5" t="s">
        <v>1394</v>
      </c>
      <c r="I674" s="7">
        <v>-4.05</v>
      </c>
      <c r="J674" s="7">
        <v>4.05</v>
      </c>
      <c r="K674" s="7">
        <v>0</v>
      </c>
      <c r="L674" s="7">
        <v>21901.61</v>
      </c>
      <c r="M674" t="s">
        <v>1213</v>
      </c>
      <c r="N674" t="s">
        <v>55</v>
      </c>
      <c r="O674">
        <v>36</v>
      </c>
      <c r="P674" s="5" t="s">
        <v>1629</v>
      </c>
    </row>
    <row r="675" spans="1:16">
      <c r="A675" s="4">
        <v>46260</v>
      </c>
      <c r="B675" t="s">
        <v>1630</v>
      </c>
      <c r="C675" s="5" t="s">
        <v>1628</v>
      </c>
      <c r="D675" t="s">
        <v>1631</v>
      </c>
      <c r="E675" t="s">
        <v>3</v>
      </c>
      <c r="F675" t="s">
        <v>26</v>
      </c>
      <c r="G675" t="s">
        <v>35</v>
      </c>
      <c r="H675" s="5" t="s">
        <v>75</v>
      </c>
      <c r="I675" s="7">
        <v>-5.08</v>
      </c>
      <c r="J675" s="7">
        <v>5.08</v>
      </c>
      <c r="K675" s="7">
        <v>0</v>
      </c>
      <c r="L675" s="7">
        <v>21896.53</v>
      </c>
      <c r="M675" t="s">
        <v>1213</v>
      </c>
      <c r="N675" t="s">
        <v>55</v>
      </c>
      <c r="O675">
        <v>36</v>
      </c>
      <c r="P675" s="5" t="s">
        <v>1632</v>
      </c>
    </row>
    <row r="676" spans="1:16">
      <c r="A676" s="4">
        <v>46260</v>
      </c>
      <c r="B676" t="s">
        <v>1633</v>
      </c>
      <c r="C676" s="5" t="s">
        <v>1596</v>
      </c>
      <c r="D676" t="s">
        <v>1634</v>
      </c>
      <c r="E676" t="s">
        <v>17</v>
      </c>
      <c r="F676" t="s">
        <v>29</v>
      </c>
      <c r="G676" s="8" t="s">
        <v>36</v>
      </c>
      <c r="H676" s="5"/>
      <c r="I676" s="7">
        <v>-7.03</v>
      </c>
      <c r="J676" s="7">
        <v>7.03</v>
      </c>
      <c r="K676" s="7">
        <v>0</v>
      </c>
      <c r="L676" s="7">
        <v>21889.5</v>
      </c>
      <c r="M676" t="s">
        <v>1213</v>
      </c>
      <c r="N676" t="s">
        <v>55</v>
      </c>
      <c r="O676">
        <v>36</v>
      </c>
      <c r="P676" s="5" t="s">
        <v>1635</v>
      </c>
    </row>
    <row r="677" spans="1:16">
      <c r="A677" s="4">
        <v>46260</v>
      </c>
      <c r="B677" t="s">
        <v>522</v>
      </c>
      <c r="C677" s="5" t="s">
        <v>1588</v>
      </c>
      <c r="D677" t="s">
        <v>523</v>
      </c>
      <c r="E677" t="s">
        <v>7</v>
      </c>
      <c r="F677" t="s">
        <v>25</v>
      </c>
      <c r="G677" t="s">
        <v>35</v>
      </c>
      <c r="H677" s="5" t="s">
        <v>524</v>
      </c>
      <c r="I677" s="7">
        <v>-21.98</v>
      </c>
      <c r="J677" s="7">
        <v>21.98</v>
      </c>
      <c r="K677" s="7">
        <v>0</v>
      </c>
      <c r="L677" s="7">
        <v>21867.52</v>
      </c>
      <c r="M677" t="s">
        <v>1213</v>
      </c>
      <c r="N677" t="s">
        <v>55</v>
      </c>
      <c r="O677">
        <v>36</v>
      </c>
      <c r="P677" s="5" t="s">
        <v>1636</v>
      </c>
    </row>
    <row r="678" spans="1:16">
      <c r="A678" s="4">
        <v>46260</v>
      </c>
      <c r="B678" t="s">
        <v>1637</v>
      </c>
      <c r="C678" s="5" t="s">
        <v>1628</v>
      </c>
      <c r="D678" t="s">
        <v>1638</v>
      </c>
      <c r="E678" t="s">
        <v>3</v>
      </c>
      <c r="F678" t="s">
        <v>26</v>
      </c>
      <c r="G678" t="s">
        <v>35</v>
      </c>
      <c r="H678" s="5" t="s">
        <v>1639</v>
      </c>
      <c r="I678" s="7">
        <v>-11.17</v>
      </c>
      <c r="J678" s="7">
        <v>11.17</v>
      </c>
      <c r="K678" s="7">
        <v>0</v>
      </c>
      <c r="L678" s="7">
        <v>21856.35</v>
      </c>
      <c r="M678" t="s">
        <v>1213</v>
      </c>
      <c r="N678" t="s">
        <v>55</v>
      </c>
      <c r="O678">
        <v>36</v>
      </c>
      <c r="P678" s="5" t="s">
        <v>1640</v>
      </c>
    </row>
    <row r="679" spans="1:16">
      <c r="A679" s="4">
        <v>46260</v>
      </c>
      <c r="B679" t="s">
        <v>1641</v>
      </c>
      <c r="C679" s="5" t="s">
        <v>1628</v>
      </c>
      <c r="D679" t="s">
        <v>1642</v>
      </c>
      <c r="E679" t="s">
        <v>8</v>
      </c>
      <c r="F679" t="s">
        <v>26</v>
      </c>
      <c r="G679" t="s">
        <v>33</v>
      </c>
      <c r="H679" s="5" t="s">
        <v>1643</v>
      </c>
      <c r="I679" s="7">
        <v>-89.3</v>
      </c>
      <c r="J679" s="7">
        <v>89.3</v>
      </c>
      <c r="K679" s="7">
        <v>0</v>
      </c>
      <c r="L679" s="7">
        <v>21767.05</v>
      </c>
      <c r="M679" t="s">
        <v>1213</v>
      </c>
      <c r="N679" t="s">
        <v>55</v>
      </c>
      <c r="O679">
        <v>36</v>
      </c>
      <c r="P679" s="5" t="s">
        <v>1644</v>
      </c>
    </row>
    <row r="680" spans="1:16">
      <c r="A680" s="4">
        <v>46260</v>
      </c>
      <c r="B680" t="s">
        <v>133</v>
      </c>
      <c r="C680" s="5"/>
      <c r="D680" t="s">
        <v>83</v>
      </c>
      <c r="E680" t="s">
        <v>2</v>
      </c>
      <c r="F680" t="s">
        <v>25</v>
      </c>
      <c r="G680" t="s">
        <v>35</v>
      </c>
      <c r="H680" s="5" t="s">
        <v>84</v>
      </c>
      <c r="I680" s="7">
        <v>-5.75</v>
      </c>
      <c r="J680" s="7">
        <v>5.75</v>
      </c>
      <c r="K680" s="7">
        <v>0</v>
      </c>
      <c r="L680" s="7">
        <v>21761.3</v>
      </c>
      <c r="M680" t="s">
        <v>1213</v>
      </c>
      <c r="N680" t="s">
        <v>55</v>
      </c>
      <c r="O680">
        <v>36</v>
      </c>
      <c r="P680" s="5" t="s">
        <v>1645</v>
      </c>
    </row>
    <row r="681" spans="1:16">
      <c r="A681" s="4">
        <v>46260</v>
      </c>
      <c r="B681" t="s">
        <v>138</v>
      </c>
      <c r="C681" s="5" t="s">
        <v>1646</v>
      </c>
      <c r="D681" t="s">
        <v>138</v>
      </c>
      <c r="E681" t="s">
        <v>6</v>
      </c>
      <c r="F681" t="s">
        <v>26</v>
      </c>
      <c r="G681" t="s">
        <v>35</v>
      </c>
      <c r="H681" s="5" t="s">
        <v>140</v>
      </c>
      <c r="I681" s="7">
        <v>-68</v>
      </c>
      <c r="J681" s="7">
        <v>68</v>
      </c>
      <c r="K681" s="7">
        <v>0</v>
      </c>
      <c r="L681" s="7">
        <v>21693.3</v>
      </c>
      <c r="M681" t="s">
        <v>1213</v>
      </c>
      <c r="N681" t="s">
        <v>55</v>
      </c>
      <c r="O681">
        <v>36</v>
      </c>
      <c r="P681" s="5" t="s">
        <v>1647</v>
      </c>
    </row>
    <row r="682" spans="1:16">
      <c r="A682" s="4">
        <v>46261</v>
      </c>
      <c r="B682" t="s">
        <v>1384</v>
      </c>
      <c r="C682" s="5" t="s">
        <v>1648</v>
      </c>
      <c r="D682" t="s">
        <v>233</v>
      </c>
      <c r="E682" t="s">
        <v>17</v>
      </c>
      <c r="F682" t="s">
        <v>29</v>
      </c>
      <c r="G682" s="8" t="s">
        <v>36</v>
      </c>
      <c r="H682" s="5"/>
      <c r="I682" s="7">
        <v>-14.28</v>
      </c>
      <c r="J682" s="7">
        <v>14.28</v>
      </c>
      <c r="K682" s="7">
        <v>0</v>
      </c>
      <c r="L682" s="7">
        <v>21679.02</v>
      </c>
      <c r="M682" t="s">
        <v>1213</v>
      </c>
      <c r="N682" t="s">
        <v>55</v>
      </c>
      <c r="O682">
        <v>36</v>
      </c>
      <c r="P682" s="5" t="s">
        <v>1649</v>
      </c>
    </row>
    <row r="683" spans="1:16">
      <c r="A683" s="4">
        <v>46261</v>
      </c>
      <c r="B683" t="s">
        <v>160</v>
      </c>
      <c r="C683" s="5"/>
      <c r="D683" t="s">
        <v>161</v>
      </c>
      <c r="E683" t="s">
        <v>1</v>
      </c>
      <c r="F683" t="s">
        <v>25</v>
      </c>
      <c r="G683" t="s">
        <v>35</v>
      </c>
      <c r="H683" s="5" t="s">
        <v>162</v>
      </c>
      <c r="I683" s="7">
        <v>-1720</v>
      </c>
      <c r="J683" s="7">
        <v>1720</v>
      </c>
      <c r="K683" s="7">
        <v>0</v>
      </c>
      <c r="L683" s="7">
        <v>19959.02</v>
      </c>
      <c r="M683" t="s">
        <v>1213</v>
      </c>
      <c r="N683" t="s">
        <v>55</v>
      </c>
      <c r="O683">
        <v>36</v>
      </c>
      <c r="P683" s="5" t="s">
        <v>1650</v>
      </c>
    </row>
    <row r="684" spans="1:16">
      <c r="A684" s="4">
        <v>46261</v>
      </c>
      <c r="B684" t="s">
        <v>1505</v>
      </c>
      <c r="C684" s="5"/>
      <c r="D684" t="s">
        <v>1506</v>
      </c>
      <c r="E684" t="s">
        <v>21</v>
      </c>
      <c r="F684" t="s">
        <v>31</v>
      </c>
      <c r="G684" t="s">
        <v>37</v>
      </c>
      <c r="H684" s="5"/>
      <c r="I684" s="7">
        <v>67.59999999999999</v>
      </c>
      <c r="J684" s="7">
        <v>0</v>
      </c>
      <c r="K684" s="7">
        <v>67.59999999999999</v>
      </c>
      <c r="L684" s="7">
        <v>20026.62</v>
      </c>
      <c r="M684" t="s">
        <v>1213</v>
      </c>
      <c r="N684" t="s">
        <v>55</v>
      </c>
      <c r="O684">
        <v>36</v>
      </c>
      <c r="P684" s="5" t="s">
        <v>1651</v>
      </c>
    </row>
    <row r="685" spans="1:16">
      <c r="A685" s="4">
        <v>46262</v>
      </c>
      <c r="B685" t="s">
        <v>235</v>
      </c>
      <c r="C685" s="5" t="s">
        <v>1652</v>
      </c>
      <c r="D685" t="s">
        <v>100</v>
      </c>
      <c r="E685" t="s">
        <v>5</v>
      </c>
      <c r="F685" t="s">
        <v>25</v>
      </c>
      <c r="G685" t="s">
        <v>33</v>
      </c>
      <c r="H685" s="5" t="s">
        <v>101</v>
      </c>
      <c r="I685" s="7">
        <v>-60</v>
      </c>
      <c r="J685" s="7">
        <v>60</v>
      </c>
      <c r="K685" s="7">
        <v>0</v>
      </c>
      <c r="L685" s="7">
        <v>19966.62</v>
      </c>
      <c r="M685" t="s">
        <v>1213</v>
      </c>
      <c r="N685" t="s">
        <v>55</v>
      </c>
      <c r="O685">
        <v>36</v>
      </c>
      <c r="P685" s="5" t="s">
        <v>1653</v>
      </c>
    </row>
    <row r="686" spans="1:16">
      <c r="A686" s="4">
        <v>46262</v>
      </c>
      <c r="B686" t="s">
        <v>1392</v>
      </c>
      <c r="C686" s="5" t="s">
        <v>1654</v>
      </c>
      <c r="D686" t="s">
        <v>1393</v>
      </c>
      <c r="E686" t="s">
        <v>3</v>
      </c>
      <c r="F686" t="s">
        <v>26</v>
      </c>
      <c r="G686" s="6" t="s">
        <v>34</v>
      </c>
      <c r="H686" s="5" t="s">
        <v>1394</v>
      </c>
      <c r="I686" s="7">
        <v>-4.05</v>
      </c>
      <c r="J686" s="7">
        <v>4.05</v>
      </c>
      <c r="K686" s="7">
        <v>0</v>
      </c>
      <c r="L686" s="7">
        <v>19962.57</v>
      </c>
      <c r="M686" t="s">
        <v>1213</v>
      </c>
      <c r="N686" t="s">
        <v>55</v>
      </c>
      <c r="O686">
        <v>36</v>
      </c>
      <c r="P686" s="5" t="s">
        <v>1655</v>
      </c>
    </row>
    <row r="687" spans="1:16">
      <c r="A687" s="4">
        <v>46262</v>
      </c>
      <c r="B687" t="s">
        <v>653</v>
      </c>
      <c r="C687" s="5" t="s">
        <v>1656</v>
      </c>
      <c r="D687" t="s">
        <v>655</v>
      </c>
      <c r="E687" t="s">
        <v>4</v>
      </c>
      <c r="F687" t="s">
        <v>25</v>
      </c>
      <c r="G687" t="s">
        <v>35</v>
      </c>
      <c r="H687" s="5" t="s">
        <v>656</v>
      </c>
      <c r="I687" s="7">
        <v>-16.51</v>
      </c>
      <c r="J687" s="7">
        <v>16.51</v>
      </c>
      <c r="K687" s="7">
        <v>0</v>
      </c>
      <c r="L687" s="7">
        <v>19946.06</v>
      </c>
      <c r="M687" t="s">
        <v>1213</v>
      </c>
      <c r="N687" t="s">
        <v>55</v>
      </c>
      <c r="O687">
        <v>36</v>
      </c>
      <c r="P687" s="5" t="s">
        <v>1657</v>
      </c>
    </row>
    <row r="688" spans="1:16">
      <c r="A688" s="4">
        <v>46262</v>
      </c>
      <c r="B688" t="s">
        <v>183</v>
      </c>
      <c r="C688" s="5" t="s">
        <v>1658</v>
      </c>
      <c r="D688" t="s">
        <v>183</v>
      </c>
      <c r="E688" t="s">
        <v>13</v>
      </c>
      <c r="F688" t="s">
        <v>25</v>
      </c>
      <c r="G688" t="s">
        <v>35</v>
      </c>
      <c r="H688" s="5" t="s">
        <v>185</v>
      </c>
      <c r="I688" s="7">
        <v>-0.58</v>
      </c>
      <c r="J688" s="7">
        <v>0.58</v>
      </c>
      <c r="K688" s="7">
        <v>0</v>
      </c>
      <c r="L688" s="7">
        <v>19945.48</v>
      </c>
      <c r="M688" t="s">
        <v>1213</v>
      </c>
      <c r="N688" t="s">
        <v>55</v>
      </c>
      <c r="O688">
        <v>36</v>
      </c>
      <c r="P688" s="5" t="s">
        <v>1659</v>
      </c>
    </row>
    <row r="689" spans="1:16">
      <c r="A689" s="4">
        <v>46262</v>
      </c>
      <c r="B689" t="s">
        <v>1392</v>
      </c>
      <c r="C689" s="5" t="s">
        <v>1660</v>
      </c>
      <c r="D689" t="s">
        <v>1393</v>
      </c>
      <c r="E689" t="s">
        <v>3</v>
      </c>
      <c r="F689" t="s">
        <v>26</v>
      </c>
      <c r="G689" s="6" t="s">
        <v>34</v>
      </c>
      <c r="H689" s="5" t="s">
        <v>1394</v>
      </c>
      <c r="I689" s="7">
        <v>-4.05</v>
      </c>
      <c r="J689" s="7">
        <v>4.05</v>
      </c>
      <c r="K689" s="7">
        <v>0</v>
      </c>
      <c r="L689" s="7">
        <v>19941.43</v>
      </c>
      <c r="M689" t="s">
        <v>1213</v>
      </c>
      <c r="N689" t="s">
        <v>55</v>
      </c>
      <c r="O689">
        <v>37</v>
      </c>
      <c r="P689" s="5" t="s">
        <v>1661</v>
      </c>
    </row>
    <row r="690" spans="1:16">
      <c r="A690" s="4">
        <v>46262</v>
      </c>
      <c r="B690" t="s">
        <v>1662</v>
      </c>
      <c r="C690" s="5" t="s">
        <v>1660</v>
      </c>
      <c r="D690" t="s">
        <v>1663</v>
      </c>
      <c r="E690" t="s">
        <v>17</v>
      </c>
      <c r="F690" t="s">
        <v>29</v>
      </c>
      <c r="G690" s="8" t="s">
        <v>36</v>
      </c>
      <c r="H690" s="5"/>
      <c r="I690" s="7">
        <v>-17.27</v>
      </c>
      <c r="J690" s="7">
        <v>17.27</v>
      </c>
      <c r="K690" s="7">
        <v>0</v>
      </c>
      <c r="L690" s="7">
        <v>19924.16</v>
      </c>
      <c r="M690" t="s">
        <v>1213</v>
      </c>
      <c r="N690" t="s">
        <v>55</v>
      </c>
      <c r="O690">
        <v>37</v>
      </c>
      <c r="P690" s="5" t="s">
        <v>1664</v>
      </c>
    </row>
    <row r="691" spans="1:16">
      <c r="A691" s="4">
        <v>46262</v>
      </c>
      <c r="B691" t="s">
        <v>1662</v>
      </c>
      <c r="C691" s="5" t="s">
        <v>1660</v>
      </c>
      <c r="D691" t="s">
        <v>1663</v>
      </c>
      <c r="E691" t="s">
        <v>17</v>
      </c>
      <c r="F691" t="s">
        <v>29</v>
      </c>
      <c r="G691" s="8" t="s">
        <v>36</v>
      </c>
      <c r="H691" s="5"/>
      <c r="I691" s="7">
        <v>-5.08</v>
      </c>
      <c r="J691" s="7">
        <v>5.08</v>
      </c>
      <c r="K691" s="7">
        <v>0</v>
      </c>
      <c r="L691" s="7">
        <v>19919.08</v>
      </c>
      <c r="M691" t="s">
        <v>1213</v>
      </c>
      <c r="N691" t="s">
        <v>55</v>
      </c>
      <c r="O691">
        <v>37</v>
      </c>
      <c r="P691" s="5" t="s">
        <v>1665</v>
      </c>
    </row>
    <row r="692" spans="1:16">
      <c r="A692" s="4">
        <v>46262</v>
      </c>
      <c r="B692" t="s">
        <v>639</v>
      </c>
      <c r="C692" s="5" t="s">
        <v>1666</v>
      </c>
      <c r="D692" t="s">
        <v>639</v>
      </c>
      <c r="E692" t="s">
        <v>20</v>
      </c>
      <c r="F692" t="s">
        <v>31</v>
      </c>
      <c r="G692" t="s">
        <v>37</v>
      </c>
      <c r="H692" s="5"/>
      <c r="I692" s="7">
        <v>9455.02</v>
      </c>
      <c r="J692" s="7">
        <v>0</v>
      </c>
      <c r="K692" s="7">
        <v>9455.02</v>
      </c>
      <c r="L692" s="7">
        <v>29374.1</v>
      </c>
      <c r="M692" t="s">
        <v>1213</v>
      </c>
      <c r="N692" t="s">
        <v>55</v>
      </c>
      <c r="O692">
        <v>37</v>
      </c>
      <c r="P692" s="5" t="s">
        <v>1667</v>
      </c>
    </row>
    <row r="693" spans="1:16">
      <c r="A693" s="4">
        <v>46262</v>
      </c>
      <c r="B693" t="s">
        <v>196</v>
      </c>
      <c r="C693" s="5"/>
      <c r="D693" t="s">
        <v>197</v>
      </c>
      <c r="E693" t="s">
        <v>8</v>
      </c>
      <c r="F693" t="s">
        <v>26</v>
      </c>
      <c r="G693" t="s">
        <v>35</v>
      </c>
      <c r="H693" s="5" t="s">
        <v>198</v>
      </c>
      <c r="I693" s="7">
        <v>-29.95</v>
      </c>
      <c r="J693" s="7">
        <v>29.95</v>
      </c>
      <c r="K693" s="7">
        <v>0</v>
      </c>
      <c r="L693" s="7">
        <v>29344.15</v>
      </c>
      <c r="M693" t="s">
        <v>1213</v>
      </c>
      <c r="N693" t="s">
        <v>55</v>
      </c>
      <c r="O693">
        <v>37</v>
      </c>
      <c r="P693" s="5" t="s">
        <v>1668</v>
      </c>
    </row>
    <row r="694" spans="1:16">
      <c r="A694" s="4">
        <v>46262</v>
      </c>
      <c r="B694" t="s">
        <v>1669</v>
      </c>
      <c r="C694" s="5"/>
      <c r="D694" t="s">
        <v>1670</v>
      </c>
      <c r="E694" t="s">
        <v>17</v>
      </c>
      <c r="F694" t="s">
        <v>29</v>
      </c>
      <c r="G694" s="8" t="s">
        <v>36</v>
      </c>
      <c r="H694" s="5"/>
      <c r="I694" s="7">
        <v>-2.03</v>
      </c>
      <c r="J694" s="7">
        <v>2.03</v>
      </c>
      <c r="K694" s="7">
        <v>0</v>
      </c>
      <c r="L694" s="7">
        <v>29342.12</v>
      </c>
      <c r="M694" t="s">
        <v>1213</v>
      </c>
      <c r="N694" t="s">
        <v>55</v>
      </c>
      <c r="O694">
        <v>37</v>
      </c>
      <c r="P694" s="5" t="s">
        <v>1671</v>
      </c>
    </row>
    <row r="695" spans="1:16">
      <c r="A695" s="4">
        <v>46262</v>
      </c>
      <c r="B695" t="s">
        <v>1505</v>
      </c>
      <c r="C695" s="5"/>
      <c r="D695" t="s">
        <v>1506</v>
      </c>
      <c r="E695" t="s">
        <v>21</v>
      </c>
      <c r="F695" t="s">
        <v>31</v>
      </c>
      <c r="G695" t="s">
        <v>37</v>
      </c>
      <c r="H695" s="5"/>
      <c r="I695" s="7">
        <v>249.7</v>
      </c>
      <c r="J695" s="7">
        <v>0</v>
      </c>
      <c r="K695" s="7">
        <v>249.7</v>
      </c>
      <c r="L695" s="7">
        <v>29591.82</v>
      </c>
      <c r="M695" t="s">
        <v>1213</v>
      </c>
      <c r="N695" t="s">
        <v>55</v>
      </c>
      <c r="O695">
        <v>37</v>
      </c>
      <c r="P695" s="5" t="s">
        <v>1672</v>
      </c>
    </row>
    <row r="696" spans="1:16">
      <c r="A696" s="4">
        <v>46262</v>
      </c>
      <c r="B696" t="s">
        <v>744</v>
      </c>
      <c r="C696" s="5"/>
      <c r="D696" t="s">
        <v>744</v>
      </c>
      <c r="E696" t="s">
        <v>8</v>
      </c>
      <c r="F696" t="s">
        <v>26</v>
      </c>
      <c r="G696" t="s">
        <v>35</v>
      </c>
      <c r="H696" s="5" t="s">
        <v>745</v>
      </c>
      <c r="I696" s="7">
        <v>-9.99</v>
      </c>
      <c r="J696" s="7">
        <v>9.99</v>
      </c>
      <c r="K696" s="7">
        <v>0</v>
      </c>
      <c r="L696" s="7">
        <v>29581.83</v>
      </c>
      <c r="M696" t="s">
        <v>1213</v>
      </c>
      <c r="N696" t="s">
        <v>55</v>
      </c>
      <c r="O696">
        <v>37</v>
      </c>
      <c r="P696" s="5" t="s">
        <v>1673</v>
      </c>
    </row>
    <row r="697" spans="1:16">
      <c r="A697" s="4">
        <v>46262</v>
      </c>
      <c r="B697" t="s">
        <v>133</v>
      </c>
      <c r="C697" s="5"/>
      <c r="D697" t="s">
        <v>83</v>
      </c>
      <c r="E697" t="s">
        <v>2</v>
      </c>
      <c r="F697" t="s">
        <v>25</v>
      </c>
      <c r="G697" t="s">
        <v>35</v>
      </c>
      <c r="H697" s="5" t="s">
        <v>84</v>
      </c>
      <c r="I697" s="7">
        <v>-22.2</v>
      </c>
      <c r="J697" s="7">
        <v>22.2</v>
      </c>
      <c r="K697" s="7">
        <v>0</v>
      </c>
      <c r="L697" s="7">
        <v>29559.63</v>
      </c>
      <c r="M697" t="s">
        <v>1213</v>
      </c>
      <c r="N697" t="s">
        <v>55</v>
      </c>
      <c r="O697">
        <v>37</v>
      </c>
      <c r="P697" s="5" t="s">
        <v>1674</v>
      </c>
    </row>
    <row r="698" spans="1:16">
      <c r="A698" s="4">
        <v>46263</v>
      </c>
      <c r="B698" t="s">
        <v>1675</v>
      </c>
      <c r="C698" s="5" t="s">
        <v>1676</v>
      </c>
      <c r="D698" t="s">
        <v>1677</v>
      </c>
      <c r="E698" t="s">
        <v>17</v>
      </c>
      <c r="F698" t="s">
        <v>29</v>
      </c>
      <c r="G698" s="8" t="s">
        <v>36</v>
      </c>
      <c r="H698" s="5"/>
      <c r="I698" s="7">
        <v>-5.24</v>
      </c>
      <c r="J698" s="7">
        <v>5.24</v>
      </c>
      <c r="K698" s="7">
        <v>0</v>
      </c>
      <c r="L698" s="7">
        <v>29554.39</v>
      </c>
      <c r="M698" t="s">
        <v>1213</v>
      </c>
      <c r="N698" t="s">
        <v>55</v>
      </c>
      <c r="O698">
        <v>37</v>
      </c>
      <c r="P698" s="5" t="s">
        <v>1678</v>
      </c>
    </row>
    <row r="699" spans="1:16">
      <c r="A699" s="4">
        <v>46263</v>
      </c>
      <c r="B699" t="s">
        <v>1501</v>
      </c>
      <c r="C699" s="5" t="s">
        <v>1676</v>
      </c>
      <c r="D699" t="s">
        <v>538</v>
      </c>
      <c r="E699" t="s">
        <v>3</v>
      </c>
      <c r="F699" t="s">
        <v>26</v>
      </c>
      <c r="G699" t="s">
        <v>35</v>
      </c>
      <c r="H699" s="5" t="s">
        <v>539</v>
      </c>
      <c r="I699" s="7">
        <v>-5.08</v>
      </c>
      <c r="J699" s="7">
        <v>5.08</v>
      </c>
      <c r="K699" s="7">
        <v>0</v>
      </c>
      <c r="L699" s="7">
        <v>29549.31</v>
      </c>
      <c r="M699" t="s">
        <v>1213</v>
      </c>
      <c r="N699" t="s">
        <v>55</v>
      </c>
      <c r="O699">
        <v>37</v>
      </c>
      <c r="P699" s="5" t="s">
        <v>1679</v>
      </c>
    </row>
    <row r="700" spans="1:16">
      <c r="A700" s="4">
        <v>46263</v>
      </c>
      <c r="B700" t="s">
        <v>81</v>
      </c>
      <c r="C700" s="5" t="s">
        <v>1676</v>
      </c>
      <c r="D700" t="s">
        <v>83</v>
      </c>
      <c r="E700" t="s">
        <v>2</v>
      </c>
      <c r="F700" t="s">
        <v>25</v>
      </c>
      <c r="G700" t="s">
        <v>35</v>
      </c>
      <c r="H700" s="5" t="s">
        <v>84</v>
      </c>
      <c r="I700" s="7">
        <v>-30.31</v>
      </c>
      <c r="J700" s="7">
        <v>30.31</v>
      </c>
      <c r="K700" s="7">
        <v>0</v>
      </c>
      <c r="L700" s="7">
        <v>29519</v>
      </c>
      <c r="M700" t="s">
        <v>1213</v>
      </c>
      <c r="N700" t="s">
        <v>55</v>
      </c>
      <c r="O700">
        <v>37</v>
      </c>
      <c r="P700" s="5" t="s">
        <v>1680</v>
      </c>
    </row>
    <row r="701" spans="1:16">
      <c r="A701" s="4">
        <v>46263</v>
      </c>
      <c r="B701" t="s">
        <v>966</v>
      </c>
      <c r="C701" s="5" t="s">
        <v>1654</v>
      </c>
      <c r="D701" t="s">
        <v>100</v>
      </c>
      <c r="E701" t="s">
        <v>5</v>
      </c>
      <c r="F701" t="s">
        <v>25</v>
      </c>
      <c r="G701" t="s">
        <v>33</v>
      </c>
      <c r="H701" s="5" t="s">
        <v>968</v>
      </c>
      <c r="I701" s="7">
        <v>-5.77</v>
      </c>
      <c r="J701" s="7">
        <v>5.77</v>
      </c>
      <c r="K701" s="7">
        <v>0</v>
      </c>
      <c r="L701" s="7">
        <v>29513.23</v>
      </c>
      <c r="M701" t="s">
        <v>1213</v>
      </c>
      <c r="N701" t="s">
        <v>55</v>
      </c>
      <c r="O701">
        <v>37</v>
      </c>
      <c r="P701" s="5" t="s">
        <v>1681</v>
      </c>
    </row>
    <row r="702" spans="1:16">
      <c r="A702" s="4">
        <v>46263</v>
      </c>
      <c r="B702" t="s">
        <v>1558</v>
      </c>
      <c r="C702" s="5" t="s">
        <v>1654</v>
      </c>
      <c r="D702" t="s">
        <v>1559</v>
      </c>
      <c r="E702" t="s">
        <v>3</v>
      </c>
      <c r="F702" t="s">
        <v>26</v>
      </c>
      <c r="G702" t="s">
        <v>33</v>
      </c>
      <c r="H702" s="5" t="s">
        <v>1560</v>
      </c>
      <c r="I702" s="7">
        <v>-13.9</v>
      </c>
      <c r="J702" s="7">
        <v>13.9</v>
      </c>
      <c r="K702" s="7">
        <v>0</v>
      </c>
      <c r="L702" s="7">
        <v>29499.33</v>
      </c>
      <c r="M702" t="s">
        <v>1213</v>
      </c>
      <c r="N702" t="s">
        <v>55</v>
      </c>
      <c r="O702">
        <v>37</v>
      </c>
      <c r="P702" s="5" t="s">
        <v>1682</v>
      </c>
    </row>
    <row r="703" spans="1:16">
      <c r="A703" s="4">
        <v>46263</v>
      </c>
      <c r="B703" t="s">
        <v>1683</v>
      </c>
      <c r="C703" s="5"/>
      <c r="D703" t="s">
        <v>1684</v>
      </c>
      <c r="E703" t="s">
        <v>17</v>
      </c>
      <c r="F703" t="s">
        <v>29</v>
      </c>
      <c r="G703" s="8" t="s">
        <v>36</v>
      </c>
      <c r="H703" s="5"/>
      <c r="I703" s="7">
        <v>-8</v>
      </c>
      <c r="J703" s="7">
        <v>8</v>
      </c>
      <c r="K703" s="7">
        <v>0</v>
      </c>
      <c r="L703" s="7">
        <v>29491.33</v>
      </c>
      <c r="M703" t="s">
        <v>1213</v>
      </c>
      <c r="N703" t="s">
        <v>55</v>
      </c>
      <c r="O703">
        <v>37</v>
      </c>
      <c r="P703" s="5" t="s">
        <v>1685</v>
      </c>
    </row>
    <row r="704" spans="1:16">
      <c r="A704" s="4">
        <v>46263</v>
      </c>
      <c r="B704" t="s">
        <v>1686</v>
      </c>
      <c r="C704" s="5"/>
      <c r="D704" t="s">
        <v>1687</v>
      </c>
      <c r="E704" t="s">
        <v>17</v>
      </c>
      <c r="F704" t="s">
        <v>29</v>
      </c>
      <c r="G704" s="8" t="s">
        <v>36</v>
      </c>
      <c r="H704" s="5"/>
      <c r="I704" s="7">
        <v>-13.21</v>
      </c>
      <c r="J704" s="7">
        <v>13.21</v>
      </c>
      <c r="K704" s="7">
        <v>0</v>
      </c>
      <c r="L704" s="7">
        <v>29478.12</v>
      </c>
      <c r="M704" t="s">
        <v>1213</v>
      </c>
      <c r="N704" t="s">
        <v>55</v>
      </c>
      <c r="O704">
        <v>37</v>
      </c>
      <c r="P704" s="5" t="s">
        <v>1688</v>
      </c>
    </row>
    <row r="705" spans="1:16">
      <c r="A705" s="4">
        <v>46263</v>
      </c>
      <c r="B705" t="s">
        <v>1689</v>
      </c>
      <c r="C705" s="5"/>
      <c r="D705" t="s">
        <v>1690</v>
      </c>
      <c r="E705" t="s">
        <v>17</v>
      </c>
      <c r="F705" t="s">
        <v>29</v>
      </c>
      <c r="G705" s="8" t="s">
        <v>36</v>
      </c>
      <c r="H705" s="5"/>
      <c r="I705" s="7">
        <v>-8</v>
      </c>
      <c r="J705" s="7">
        <v>8</v>
      </c>
      <c r="K705" s="7">
        <v>0</v>
      </c>
      <c r="L705" s="7">
        <v>29470.12</v>
      </c>
      <c r="M705" t="s">
        <v>1213</v>
      </c>
      <c r="N705" t="s">
        <v>55</v>
      </c>
      <c r="O705">
        <v>37</v>
      </c>
      <c r="P705" s="5" t="s">
        <v>1691</v>
      </c>
    </row>
    <row r="706" spans="1:16">
      <c r="A706" s="4">
        <v>46263</v>
      </c>
      <c r="B706" t="s">
        <v>133</v>
      </c>
      <c r="C706" s="5"/>
      <c r="D706" t="s">
        <v>83</v>
      </c>
      <c r="E706" t="s">
        <v>2</v>
      </c>
      <c r="F706" t="s">
        <v>25</v>
      </c>
      <c r="G706" t="s">
        <v>35</v>
      </c>
      <c r="H706" s="5" t="s">
        <v>84</v>
      </c>
      <c r="I706" s="7">
        <v>-7.3</v>
      </c>
      <c r="J706" s="7">
        <v>7.3</v>
      </c>
      <c r="K706" s="7">
        <v>0</v>
      </c>
      <c r="L706" s="7">
        <v>29462.82</v>
      </c>
      <c r="M706" t="s">
        <v>1213</v>
      </c>
      <c r="N706" t="s">
        <v>55</v>
      </c>
      <c r="O706">
        <v>37</v>
      </c>
      <c r="P706" s="5" t="s">
        <v>1692</v>
      </c>
    </row>
    <row r="707" spans="1:16">
      <c r="A707" s="4">
        <v>46263</v>
      </c>
      <c r="B707" t="s">
        <v>133</v>
      </c>
      <c r="C707" s="5"/>
      <c r="D707" t="s">
        <v>83</v>
      </c>
      <c r="E707" t="s">
        <v>2</v>
      </c>
      <c r="F707" t="s">
        <v>25</v>
      </c>
      <c r="G707" t="s">
        <v>35</v>
      </c>
      <c r="H707" s="5" t="s">
        <v>84</v>
      </c>
      <c r="I707" s="7">
        <v>-7.55</v>
      </c>
      <c r="J707" s="7">
        <v>7.55</v>
      </c>
      <c r="K707" s="7">
        <v>0</v>
      </c>
      <c r="L707" s="7">
        <v>29455.27</v>
      </c>
      <c r="M707" t="s">
        <v>1213</v>
      </c>
      <c r="N707" t="s">
        <v>55</v>
      </c>
      <c r="O707">
        <v>37</v>
      </c>
      <c r="P707" s="5" t="s">
        <v>1693</v>
      </c>
    </row>
    <row r="708" spans="1:16">
      <c r="A708" s="4">
        <v>46264</v>
      </c>
      <c r="B708" t="s">
        <v>1694</v>
      </c>
      <c r="C708" s="5"/>
      <c r="D708" t="s">
        <v>1694</v>
      </c>
      <c r="E708" t="s">
        <v>3</v>
      </c>
      <c r="F708" t="s">
        <v>26</v>
      </c>
      <c r="G708" t="s">
        <v>35</v>
      </c>
      <c r="H708" s="5" t="s">
        <v>713</v>
      </c>
      <c r="I708" s="7">
        <v>-8.050000000000001</v>
      </c>
      <c r="J708" s="7">
        <v>8.050000000000001</v>
      </c>
      <c r="K708" s="7">
        <v>0</v>
      </c>
      <c r="L708" s="7">
        <v>29447.22</v>
      </c>
      <c r="M708" t="s">
        <v>1213</v>
      </c>
      <c r="N708" t="s">
        <v>55</v>
      </c>
      <c r="O708">
        <v>37</v>
      </c>
      <c r="P708" s="5" t="s">
        <v>1695</v>
      </c>
    </row>
    <row r="709" spans="1:16">
      <c r="A709" s="4">
        <v>46265</v>
      </c>
      <c r="B709" t="s">
        <v>1432</v>
      </c>
      <c r="C709" s="5"/>
      <c r="D709" t="s">
        <v>1433</v>
      </c>
      <c r="E709" t="s">
        <v>7</v>
      </c>
      <c r="F709" t="s">
        <v>25</v>
      </c>
      <c r="G709" t="s">
        <v>35</v>
      </c>
      <c r="H709" s="5" t="s">
        <v>1434</v>
      </c>
      <c r="I709" s="7">
        <v>-90</v>
      </c>
      <c r="J709" s="7">
        <v>90</v>
      </c>
      <c r="K709" s="7">
        <v>0</v>
      </c>
      <c r="L709" s="7">
        <v>29357.22</v>
      </c>
      <c r="M709" t="s">
        <v>1213</v>
      </c>
      <c r="N709" t="s">
        <v>55</v>
      </c>
      <c r="O709">
        <v>37</v>
      </c>
      <c r="P709" s="5" t="s">
        <v>1696</v>
      </c>
    </row>
    <row r="710" spans="1:16">
      <c r="A710" s="4">
        <v>46265</v>
      </c>
      <c r="B710" t="s">
        <v>1697</v>
      </c>
      <c r="C710" s="5"/>
      <c r="D710" t="s">
        <v>1698</v>
      </c>
      <c r="E710" t="s">
        <v>17</v>
      </c>
      <c r="F710" t="s">
        <v>29</v>
      </c>
      <c r="G710" s="8" t="s">
        <v>36</v>
      </c>
      <c r="H710" s="5"/>
      <c r="I710" s="7">
        <v>-86.89</v>
      </c>
      <c r="J710" s="7">
        <v>86.89</v>
      </c>
      <c r="K710" s="7">
        <v>0</v>
      </c>
      <c r="L710" s="7">
        <v>29270.33</v>
      </c>
      <c r="M710" t="s">
        <v>1213</v>
      </c>
      <c r="N710" t="s">
        <v>55</v>
      </c>
      <c r="O710">
        <v>37</v>
      </c>
      <c r="P710" s="5" t="s">
        <v>1699</v>
      </c>
    </row>
    <row r="711" spans="1:16">
      <c r="A711" s="4">
        <v>46266</v>
      </c>
      <c r="B711" t="s">
        <v>1700</v>
      </c>
      <c r="C711" s="5" t="s">
        <v>1701</v>
      </c>
      <c r="D711" t="s">
        <v>1702</v>
      </c>
      <c r="E711" t="s">
        <v>5</v>
      </c>
      <c r="F711" t="s">
        <v>27</v>
      </c>
      <c r="G711" t="s">
        <v>33</v>
      </c>
      <c r="H711" s="5" t="s">
        <v>1703</v>
      </c>
      <c r="I711" s="7">
        <v>-40</v>
      </c>
      <c r="J711" s="7">
        <v>40</v>
      </c>
      <c r="K711" s="7">
        <v>0</v>
      </c>
      <c r="L711" s="7">
        <v>29230.33</v>
      </c>
      <c r="M711" t="s">
        <v>1704</v>
      </c>
      <c r="N711" t="s">
        <v>55</v>
      </c>
      <c r="O711">
        <v>38</v>
      </c>
      <c r="P711" s="5" t="s">
        <v>1705</v>
      </c>
    </row>
    <row r="712" spans="1:16">
      <c r="A712" s="4">
        <v>46266</v>
      </c>
      <c r="B712" t="s">
        <v>1706</v>
      </c>
      <c r="C712" s="5" t="s">
        <v>1701</v>
      </c>
      <c r="D712" t="s">
        <v>1707</v>
      </c>
      <c r="E712" t="s">
        <v>17</v>
      </c>
      <c r="F712" t="s">
        <v>29</v>
      </c>
      <c r="G712" s="8" t="s">
        <v>36</v>
      </c>
      <c r="H712" s="5"/>
      <c r="I712" s="7">
        <v>-22</v>
      </c>
      <c r="J712" s="7">
        <v>22</v>
      </c>
      <c r="K712" s="7">
        <v>0</v>
      </c>
      <c r="L712" s="7">
        <v>29208.33</v>
      </c>
      <c r="M712" t="s">
        <v>1704</v>
      </c>
      <c r="N712" t="s">
        <v>55</v>
      </c>
      <c r="O712">
        <v>38</v>
      </c>
      <c r="P712" s="5" t="s">
        <v>1708</v>
      </c>
    </row>
    <row r="713" spans="1:16">
      <c r="A713" s="4">
        <v>46266</v>
      </c>
      <c r="B713" t="s">
        <v>1706</v>
      </c>
      <c r="C713" s="5" t="s">
        <v>1701</v>
      </c>
      <c r="D713" t="s">
        <v>1707</v>
      </c>
      <c r="E713" t="s">
        <v>17</v>
      </c>
      <c r="F713" t="s">
        <v>29</v>
      </c>
      <c r="G713" s="8" t="s">
        <v>36</v>
      </c>
      <c r="H713" s="5"/>
      <c r="I713" s="7">
        <v>-6</v>
      </c>
      <c r="J713" s="7">
        <v>6</v>
      </c>
      <c r="K713" s="7">
        <v>0</v>
      </c>
      <c r="L713" s="7">
        <v>29202.33</v>
      </c>
      <c r="M713" t="s">
        <v>1704</v>
      </c>
      <c r="N713" t="s">
        <v>55</v>
      </c>
      <c r="O713">
        <v>38</v>
      </c>
      <c r="P713" s="5" t="s">
        <v>1709</v>
      </c>
    </row>
    <row r="714" spans="1:16">
      <c r="A714" s="4">
        <v>46266</v>
      </c>
      <c r="B714" t="s">
        <v>1253</v>
      </c>
      <c r="C714" s="5" t="s">
        <v>1701</v>
      </c>
      <c r="D714" t="s">
        <v>1254</v>
      </c>
      <c r="E714" t="s">
        <v>5</v>
      </c>
      <c r="F714" t="s">
        <v>25</v>
      </c>
      <c r="G714" t="s">
        <v>33</v>
      </c>
      <c r="H714" s="5" t="s">
        <v>1255</v>
      </c>
      <c r="I714" s="7">
        <v>-80</v>
      </c>
      <c r="J714" s="7">
        <v>80</v>
      </c>
      <c r="K714" s="7">
        <v>0</v>
      </c>
      <c r="L714" s="7">
        <v>29122.33</v>
      </c>
      <c r="M714" t="s">
        <v>1704</v>
      </c>
      <c r="N714" t="s">
        <v>55</v>
      </c>
      <c r="O714">
        <v>38</v>
      </c>
      <c r="P714" s="5" t="s">
        <v>1710</v>
      </c>
    </row>
    <row r="715" spans="1:16">
      <c r="A715" s="4">
        <v>46266</v>
      </c>
      <c r="B715" t="s">
        <v>1371</v>
      </c>
      <c r="C715" s="5" t="s">
        <v>1711</v>
      </c>
      <c r="D715" t="s">
        <v>1372</v>
      </c>
      <c r="E715" t="s">
        <v>17</v>
      </c>
      <c r="F715" t="s">
        <v>29</v>
      </c>
      <c r="G715" s="8" t="s">
        <v>36</v>
      </c>
      <c r="H715" s="5"/>
      <c r="I715" s="7">
        <v>-22.15</v>
      </c>
      <c r="J715" s="7">
        <v>22.15</v>
      </c>
      <c r="K715" s="7">
        <v>0</v>
      </c>
      <c r="L715" s="7">
        <v>29100.18</v>
      </c>
      <c r="M715" t="s">
        <v>1704</v>
      </c>
      <c r="N715" t="s">
        <v>55</v>
      </c>
      <c r="O715">
        <v>38</v>
      </c>
      <c r="P715" s="5" t="s">
        <v>1712</v>
      </c>
    </row>
    <row r="716" spans="1:16">
      <c r="A716" s="4">
        <v>46266</v>
      </c>
      <c r="B716" t="s">
        <v>200</v>
      </c>
      <c r="C716" s="5" t="s">
        <v>1711</v>
      </c>
      <c r="D716" t="s">
        <v>202</v>
      </c>
      <c r="E716" t="s">
        <v>3</v>
      </c>
      <c r="F716" t="s">
        <v>26</v>
      </c>
      <c r="G716" t="s">
        <v>35</v>
      </c>
      <c r="H716" s="5" t="s">
        <v>203</v>
      </c>
      <c r="I716" s="7">
        <v>-79</v>
      </c>
      <c r="J716" s="7">
        <v>79</v>
      </c>
      <c r="K716" s="7">
        <v>0</v>
      </c>
      <c r="L716" s="7">
        <v>29021.18</v>
      </c>
      <c r="M716" t="s">
        <v>1704</v>
      </c>
      <c r="N716" t="s">
        <v>55</v>
      </c>
      <c r="O716">
        <v>38</v>
      </c>
      <c r="P716" s="5" t="s">
        <v>1713</v>
      </c>
    </row>
    <row r="717" spans="1:16">
      <c r="A717" s="4">
        <v>46266</v>
      </c>
      <c r="B717" t="s">
        <v>1384</v>
      </c>
      <c r="C717" s="5" t="s">
        <v>1714</v>
      </c>
      <c r="D717" t="s">
        <v>233</v>
      </c>
      <c r="E717" t="s">
        <v>17</v>
      </c>
      <c r="F717" t="s">
        <v>29</v>
      </c>
      <c r="G717" s="8" t="s">
        <v>36</v>
      </c>
      <c r="H717" s="5"/>
      <c r="I717" s="7">
        <v>-10.2</v>
      </c>
      <c r="J717" s="7">
        <v>10.2</v>
      </c>
      <c r="K717" s="7">
        <v>0</v>
      </c>
      <c r="L717" s="7">
        <v>29010.98</v>
      </c>
      <c r="M717" t="s">
        <v>1704</v>
      </c>
      <c r="N717" t="s">
        <v>55</v>
      </c>
      <c r="O717">
        <v>38</v>
      </c>
      <c r="P717" s="5" t="s">
        <v>1715</v>
      </c>
    </row>
    <row r="718" spans="1:16">
      <c r="A718" s="4">
        <v>46266</v>
      </c>
      <c r="B718" t="s">
        <v>384</v>
      </c>
      <c r="C718" s="5" t="s">
        <v>1714</v>
      </c>
      <c r="D718" t="s">
        <v>385</v>
      </c>
      <c r="E718" t="s">
        <v>3</v>
      </c>
      <c r="F718" t="s">
        <v>26</v>
      </c>
      <c r="G718" t="s">
        <v>35</v>
      </c>
      <c r="H718" s="5" t="s">
        <v>93</v>
      </c>
      <c r="I718" s="7">
        <v>-24.1</v>
      </c>
      <c r="J718" s="7">
        <v>24.1</v>
      </c>
      <c r="K718" s="7">
        <v>0</v>
      </c>
      <c r="L718" s="7">
        <v>28986.88</v>
      </c>
      <c r="M718" t="s">
        <v>1704</v>
      </c>
      <c r="N718" t="s">
        <v>55</v>
      </c>
      <c r="O718">
        <v>38</v>
      </c>
      <c r="P718" s="5" t="s">
        <v>1716</v>
      </c>
    </row>
    <row r="719" spans="1:16">
      <c r="A719" s="4">
        <v>46266</v>
      </c>
      <c r="B719" t="s">
        <v>1717</v>
      </c>
      <c r="C719" s="5" t="s">
        <v>1718</v>
      </c>
      <c r="D719" t="s">
        <v>1719</v>
      </c>
      <c r="E719" t="s">
        <v>17</v>
      </c>
      <c r="F719" t="s">
        <v>29</v>
      </c>
      <c r="G719" s="8" t="s">
        <v>36</v>
      </c>
      <c r="H719" s="5"/>
      <c r="I719" s="7">
        <v>-4</v>
      </c>
      <c r="J719" s="7">
        <v>4</v>
      </c>
      <c r="K719" s="7">
        <v>0</v>
      </c>
      <c r="L719" s="7">
        <v>28982.88</v>
      </c>
      <c r="M719" t="s">
        <v>1704</v>
      </c>
      <c r="N719" t="s">
        <v>55</v>
      </c>
      <c r="O719">
        <v>38</v>
      </c>
      <c r="P719" s="5" t="s">
        <v>1720</v>
      </c>
    </row>
    <row r="720" spans="1:16">
      <c r="A720" s="4">
        <v>46266</v>
      </c>
      <c r="B720" t="s">
        <v>1721</v>
      </c>
      <c r="C720" s="5" t="s">
        <v>1718</v>
      </c>
      <c r="D720" t="s">
        <v>1722</v>
      </c>
      <c r="E720" t="s">
        <v>17</v>
      </c>
      <c r="F720" t="s">
        <v>29</v>
      </c>
      <c r="G720" s="8" t="s">
        <v>36</v>
      </c>
      <c r="H720" s="5"/>
      <c r="I720" s="7">
        <v>-14.18</v>
      </c>
      <c r="J720" s="7">
        <v>14.18</v>
      </c>
      <c r="K720" s="7">
        <v>0</v>
      </c>
      <c r="L720" s="7">
        <v>28968.7</v>
      </c>
      <c r="M720" t="s">
        <v>1704</v>
      </c>
      <c r="N720" t="s">
        <v>55</v>
      </c>
      <c r="O720">
        <v>38</v>
      </c>
      <c r="P720" s="5" t="s">
        <v>1723</v>
      </c>
    </row>
    <row r="721" spans="1:16">
      <c r="A721" s="4">
        <v>46266</v>
      </c>
      <c r="B721" t="s">
        <v>1724</v>
      </c>
      <c r="C721" s="5" t="s">
        <v>1718</v>
      </c>
      <c r="D721" t="s">
        <v>1725</v>
      </c>
      <c r="E721" t="s">
        <v>17</v>
      </c>
      <c r="F721" t="s">
        <v>29</v>
      </c>
      <c r="G721" s="8" t="s">
        <v>36</v>
      </c>
      <c r="H721" s="5"/>
      <c r="I721" s="7">
        <v>-195.07</v>
      </c>
      <c r="J721" s="7">
        <v>195.07</v>
      </c>
      <c r="K721" s="7">
        <v>0</v>
      </c>
      <c r="L721" s="7">
        <v>28773.63</v>
      </c>
      <c r="M721" t="s">
        <v>1704</v>
      </c>
      <c r="N721" t="s">
        <v>55</v>
      </c>
      <c r="O721">
        <v>38</v>
      </c>
      <c r="P721" s="5" t="s">
        <v>1726</v>
      </c>
    </row>
    <row r="722" spans="1:16">
      <c r="A722" s="4">
        <v>46266</v>
      </c>
      <c r="B722" t="s">
        <v>1727</v>
      </c>
      <c r="C722" s="5" t="s">
        <v>1718</v>
      </c>
      <c r="D722" t="s">
        <v>1728</v>
      </c>
      <c r="E722" t="s">
        <v>17</v>
      </c>
      <c r="F722" t="s">
        <v>29</v>
      </c>
      <c r="G722" s="8" t="s">
        <v>36</v>
      </c>
      <c r="H722" s="5"/>
      <c r="I722" s="7">
        <v>-6.58</v>
      </c>
      <c r="J722" s="7">
        <v>6.58</v>
      </c>
      <c r="K722" s="7">
        <v>0</v>
      </c>
      <c r="L722" s="7">
        <v>28767.05</v>
      </c>
      <c r="M722" t="s">
        <v>1704</v>
      </c>
      <c r="N722" t="s">
        <v>55</v>
      </c>
      <c r="O722">
        <v>38</v>
      </c>
      <c r="P722" s="5" t="s">
        <v>1729</v>
      </c>
    </row>
    <row r="723" spans="1:16">
      <c r="A723" s="4">
        <v>46266</v>
      </c>
      <c r="B723" t="s">
        <v>966</v>
      </c>
      <c r="C723" s="5" t="s">
        <v>1730</v>
      </c>
      <c r="D723" t="s">
        <v>100</v>
      </c>
      <c r="E723" t="s">
        <v>5</v>
      </c>
      <c r="F723" t="s">
        <v>25</v>
      </c>
      <c r="G723" t="s">
        <v>33</v>
      </c>
      <c r="H723" s="5" t="s">
        <v>968</v>
      </c>
      <c r="I723" s="7">
        <v>-5.77</v>
      </c>
      <c r="J723" s="7">
        <v>5.77</v>
      </c>
      <c r="K723" s="7">
        <v>0</v>
      </c>
      <c r="L723" s="7">
        <v>28761.28</v>
      </c>
      <c r="M723" t="s">
        <v>1704</v>
      </c>
      <c r="N723" t="s">
        <v>55</v>
      </c>
      <c r="O723">
        <v>38</v>
      </c>
      <c r="P723" s="5" t="s">
        <v>1731</v>
      </c>
    </row>
    <row r="724" spans="1:16">
      <c r="A724" s="4">
        <v>46266</v>
      </c>
      <c r="B724" t="s">
        <v>1392</v>
      </c>
      <c r="C724" s="5" t="s">
        <v>1730</v>
      </c>
      <c r="D724" t="s">
        <v>1393</v>
      </c>
      <c r="E724" t="s">
        <v>3</v>
      </c>
      <c r="F724" t="s">
        <v>26</v>
      </c>
      <c r="G724" s="6" t="s">
        <v>34</v>
      </c>
      <c r="H724" s="5" t="s">
        <v>1394</v>
      </c>
      <c r="I724" s="7">
        <v>-4.05</v>
      </c>
      <c r="J724" s="7">
        <v>4.05</v>
      </c>
      <c r="K724" s="7">
        <v>0</v>
      </c>
      <c r="L724" s="7">
        <v>28757.23</v>
      </c>
      <c r="M724" t="s">
        <v>1704</v>
      </c>
      <c r="N724" t="s">
        <v>55</v>
      </c>
      <c r="O724">
        <v>38</v>
      </c>
      <c r="P724" s="5" t="s">
        <v>1732</v>
      </c>
    </row>
    <row r="725" spans="1:16">
      <c r="A725" s="4">
        <v>46266</v>
      </c>
      <c r="B725" t="s">
        <v>1733</v>
      </c>
      <c r="C725" s="5" t="s">
        <v>1730</v>
      </c>
      <c r="D725" t="s">
        <v>1734</v>
      </c>
      <c r="E725" t="s">
        <v>3</v>
      </c>
      <c r="F725" t="s">
        <v>26</v>
      </c>
      <c r="G725" t="s">
        <v>35</v>
      </c>
      <c r="H725" s="5" t="s">
        <v>444</v>
      </c>
      <c r="I725" s="7">
        <v>-16.52</v>
      </c>
      <c r="J725" s="7">
        <v>16.52</v>
      </c>
      <c r="K725" s="7">
        <v>0</v>
      </c>
      <c r="L725" s="7">
        <v>28740.71</v>
      </c>
      <c r="M725" t="s">
        <v>1704</v>
      </c>
      <c r="N725" t="s">
        <v>55</v>
      </c>
      <c r="O725">
        <v>38</v>
      </c>
      <c r="P725" s="5" t="s">
        <v>1735</v>
      </c>
    </row>
    <row r="726" spans="1:16">
      <c r="A726" s="4">
        <v>46266</v>
      </c>
      <c r="B726" t="s">
        <v>1736</v>
      </c>
      <c r="C726" s="5" t="s">
        <v>1730</v>
      </c>
      <c r="D726" t="s">
        <v>1737</v>
      </c>
      <c r="E726" t="s">
        <v>17</v>
      </c>
      <c r="F726" t="s">
        <v>29</v>
      </c>
      <c r="G726" s="8" t="s">
        <v>36</v>
      </c>
      <c r="H726" s="5"/>
      <c r="I726" s="7">
        <v>-5.02</v>
      </c>
      <c r="J726" s="7">
        <v>5.02</v>
      </c>
      <c r="K726" s="7">
        <v>0</v>
      </c>
      <c r="L726" s="7">
        <v>28735.69</v>
      </c>
      <c r="M726" t="s">
        <v>1704</v>
      </c>
      <c r="N726" t="s">
        <v>55</v>
      </c>
      <c r="O726">
        <v>39</v>
      </c>
      <c r="P726" s="5" t="s">
        <v>1738</v>
      </c>
    </row>
    <row r="727" spans="1:16">
      <c r="A727" s="4">
        <v>46266</v>
      </c>
      <c r="B727" t="s">
        <v>473</v>
      </c>
      <c r="C727" s="5"/>
      <c r="D727" t="s">
        <v>473</v>
      </c>
      <c r="E727" t="s">
        <v>2</v>
      </c>
      <c r="F727" t="s">
        <v>25</v>
      </c>
      <c r="G727" t="s">
        <v>35</v>
      </c>
      <c r="H727" s="5" t="s">
        <v>474</v>
      </c>
      <c r="I727" s="7">
        <v>-4.03</v>
      </c>
      <c r="J727" s="7">
        <v>4.03</v>
      </c>
      <c r="K727" s="7">
        <v>0</v>
      </c>
      <c r="L727" s="7">
        <v>28731.66</v>
      </c>
      <c r="M727" t="s">
        <v>1704</v>
      </c>
      <c r="N727" t="s">
        <v>55</v>
      </c>
      <c r="O727">
        <v>39</v>
      </c>
      <c r="P727" s="5" t="s">
        <v>1739</v>
      </c>
    </row>
    <row r="728" spans="1:16">
      <c r="A728" s="4">
        <v>46266</v>
      </c>
      <c r="B728" t="s">
        <v>60</v>
      </c>
      <c r="C728" s="5" t="s">
        <v>61</v>
      </c>
      <c r="D728" t="s">
        <v>60</v>
      </c>
      <c r="E728" t="s">
        <v>7</v>
      </c>
      <c r="F728" t="s">
        <v>25</v>
      </c>
      <c r="G728" t="s">
        <v>35</v>
      </c>
      <c r="H728" s="5" t="s">
        <v>62</v>
      </c>
      <c r="I728" s="7">
        <v>-139.08</v>
      </c>
      <c r="J728" s="7">
        <v>139.08</v>
      </c>
      <c r="K728" s="7">
        <v>0</v>
      </c>
      <c r="L728" s="7">
        <v>28592.58</v>
      </c>
      <c r="M728" t="s">
        <v>1704</v>
      </c>
      <c r="N728" t="s">
        <v>55</v>
      </c>
      <c r="O728">
        <v>39</v>
      </c>
      <c r="P728" s="5" t="s">
        <v>1740</v>
      </c>
    </row>
    <row r="729" spans="1:16">
      <c r="A729" s="4">
        <v>46267</v>
      </c>
      <c r="B729" t="s">
        <v>109</v>
      </c>
      <c r="C729" s="5" t="s">
        <v>1741</v>
      </c>
      <c r="D729" t="s">
        <v>111</v>
      </c>
      <c r="E729" t="s">
        <v>3</v>
      </c>
      <c r="F729" t="s">
        <v>26</v>
      </c>
      <c r="G729" t="s">
        <v>35</v>
      </c>
      <c r="H729" s="5" t="s">
        <v>112</v>
      </c>
      <c r="I729" s="7">
        <v>-30.83</v>
      </c>
      <c r="J729" s="7">
        <v>30.83</v>
      </c>
      <c r="K729" s="7">
        <v>0</v>
      </c>
      <c r="L729" s="7">
        <v>28561.75</v>
      </c>
      <c r="M729" t="s">
        <v>1704</v>
      </c>
      <c r="N729" t="s">
        <v>55</v>
      </c>
      <c r="O729">
        <v>39</v>
      </c>
      <c r="P729" s="5" t="s">
        <v>1742</v>
      </c>
    </row>
    <row r="730" spans="1:16">
      <c r="A730" s="4">
        <v>46267</v>
      </c>
      <c r="B730" t="s">
        <v>1743</v>
      </c>
      <c r="C730" s="5" t="s">
        <v>1744</v>
      </c>
      <c r="D730" t="s">
        <v>488</v>
      </c>
      <c r="E730" t="s">
        <v>15</v>
      </c>
      <c r="F730" t="s">
        <v>27</v>
      </c>
      <c r="G730" t="s">
        <v>33</v>
      </c>
      <c r="H730" s="5" t="s">
        <v>489</v>
      </c>
      <c r="I730" s="7">
        <v>-396</v>
      </c>
      <c r="J730" s="7">
        <v>396</v>
      </c>
      <c r="K730" s="7">
        <v>0</v>
      </c>
      <c r="L730" s="7">
        <v>28165.75</v>
      </c>
      <c r="M730" t="s">
        <v>1704</v>
      </c>
      <c r="N730" t="s">
        <v>55</v>
      </c>
      <c r="O730">
        <v>39</v>
      </c>
      <c r="P730" s="5" t="s">
        <v>1745</v>
      </c>
    </row>
    <row r="731" spans="1:16">
      <c r="A731" s="4">
        <v>46267</v>
      </c>
      <c r="B731" t="s">
        <v>1746</v>
      </c>
      <c r="C731" s="5" t="s">
        <v>1744</v>
      </c>
      <c r="D731" t="s">
        <v>488</v>
      </c>
      <c r="E731" t="s">
        <v>15</v>
      </c>
      <c r="F731" t="s">
        <v>27</v>
      </c>
      <c r="G731" t="s">
        <v>33</v>
      </c>
      <c r="H731" s="5" t="s">
        <v>489</v>
      </c>
      <c r="I731" s="7">
        <v>-326</v>
      </c>
      <c r="J731" s="7">
        <v>326</v>
      </c>
      <c r="K731" s="7">
        <v>0</v>
      </c>
      <c r="L731" s="7">
        <v>27839.75</v>
      </c>
      <c r="M731" t="s">
        <v>1704</v>
      </c>
      <c r="N731" t="s">
        <v>55</v>
      </c>
      <c r="O731">
        <v>39</v>
      </c>
      <c r="P731" s="5" t="s">
        <v>1747</v>
      </c>
    </row>
    <row r="732" spans="1:16">
      <c r="A732" s="4">
        <v>46267</v>
      </c>
      <c r="B732" t="s">
        <v>1546</v>
      </c>
      <c r="C732" s="5" t="s">
        <v>1714</v>
      </c>
      <c r="D732" t="s">
        <v>1547</v>
      </c>
      <c r="E732" t="s">
        <v>17</v>
      </c>
      <c r="F732" t="s">
        <v>29</v>
      </c>
      <c r="G732" s="8" t="s">
        <v>36</v>
      </c>
      <c r="H732" s="5"/>
      <c r="I732" s="7">
        <v>-40.8</v>
      </c>
      <c r="J732" s="7">
        <v>40.8</v>
      </c>
      <c r="K732" s="7">
        <v>0</v>
      </c>
      <c r="L732" s="7">
        <v>27798.95</v>
      </c>
      <c r="M732" t="s">
        <v>1704</v>
      </c>
      <c r="N732" t="s">
        <v>55</v>
      </c>
      <c r="O732">
        <v>39</v>
      </c>
      <c r="P732" s="5" t="s">
        <v>1748</v>
      </c>
    </row>
    <row r="733" spans="1:16">
      <c r="A733" s="4">
        <v>46267</v>
      </c>
      <c r="B733" t="s">
        <v>81</v>
      </c>
      <c r="C733" s="5" t="s">
        <v>1744</v>
      </c>
      <c r="D733" t="s">
        <v>83</v>
      </c>
      <c r="E733" t="s">
        <v>2</v>
      </c>
      <c r="F733" t="s">
        <v>25</v>
      </c>
      <c r="G733" t="s">
        <v>35</v>
      </c>
      <c r="H733" s="5" t="s">
        <v>84</v>
      </c>
      <c r="I733" s="7">
        <v>-28.61</v>
      </c>
      <c r="J733" s="7">
        <v>28.61</v>
      </c>
      <c r="K733" s="7">
        <v>0</v>
      </c>
      <c r="L733" s="7">
        <v>27770.34</v>
      </c>
      <c r="M733" t="s">
        <v>1704</v>
      </c>
      <c r="N733" t="s">
        <v>55</v>
      </c>
      <c r="O733">
        <v>39</v>
      </c>
      <c r="P733" s="5" t="s">
        <v>1749</v>
      </c>
    </row>
    <row r="734" spans="1:16">
      <c r="A734" s="4">
        <v>46267</v>
      </c>
      <c r="B734" t="s">
        <v>196</v>
      </c>
      <c r="C734" s="5"/>
      <c r="D734" t="s">
        <v>197</v>
      </c>
      <c r="E734" t="s">
        <v>8</v>
      </c>
      <c r="F734" t="s">
        <v>26</v>
      </c>
      <c r="G734" t="s">
        <v>35</v>
      </c>
      <c r="H734" s="5" t="s">
        <v>198</v>
      </c>
      <c r="I734" s="7">
        <v>-40.15</v>
      </c>
      <c r="J734" s="7">
        <v>40.15</v>
      </c>
      <c r="K734" s="7">
        <v>0</v>
      </c>
      <c r="L734" s="7">
        <v>27730.19</v>
      </c>
      <c r="M734" t="s">
        <v>1704</v>
      </c>
      <c r="N734" t="s">
        <v>55</v>
      </c>
      <c r="O734">
        <v>39</v>
      </c>
      <c r="P734" s="5" t="s">
        <v>1750</v>
      </c>
    </row>
    <row r="735" spans="1:16">
      <c r="A735" s="4">
        <v>46267</v>
      </c>
      <c r="B735" t="s">
        <v>1751</v>
      </c>
      <c r="C735" s="5"/>
      <c r="D735" t="s">
        <v>1752</v>
      </c>
      <c r="E735" t="s">
        <v>8</v>
      </c>
      <c r="F735" t="s">
        <v>26</v>
      </c>
      <c r="G735" t="s">
        <v>35</v>
      </c>
      <c r="H735" s="5" t="s">
        <v>1753</v>
      </c>
      <c r="I735" s="7">
        <v>-39.9</v>
      </c>
      <c r="J735" s="7">
        <v>39.9</v>
      </c>
      <c r="K735" s="7">
        <v>0</v>
      </c>
      <c r="L735" s="7">
        <v>27690.29</v>
      </c>
      <c r="M735" t="s">
        <v>1704</v>
      </c>
      <c r="N735" t="s">
        <v>55</v>
      </c>
      <c r="O735">
        <v>39</v>
      </c>
      <c r="P735" s="5" t="s">
        <v>1754</v>
      </c>
    </row>
    <row r="736" spans="1:16">
      <c r="A736" s="4">
        <v>46267</v>
      </c>
      <c r="B736" t="s">
        <v>1755</v>
      </c>
      <c r="C736" s="5"/>
      <c r="D736" t="s">
        <v>1755</v>
      </c>
      <c r="E736" t="s">
        <v>17</v>
      </c>
      <c r="F736" t="s">
        <v>29</v>
      </c>
      <c r="G736" s="8" t="s">
        <v>36</v>
      </c>
      <c r="H736" s="5"/>
      <c r="I736" s="7">
        <v>-15</v>
      </c>
      <c r="J736" s="7">
        <v>15</v>
      </c>
      <c r="K736" s="7">
        <v>0</v>
      </c>
      <c r="L736" s="7">
        <v>27675.29</v>
      </c>
      <c r="M736" t="s">
        <v>1704</v>
      </c>
      <c r="N736" t="s">
        <v>55</v>
      </c>
      <c r="O736">
        <v>39</v>
      </c>
      <c r="P736" s="5" t="s">
        <v>1756</v>
      </c>
    </row>
    <row r="737" spans="1:16">
      <c r="A737" s="4">
        <v>46267</v>
      </c>
      <c r="B737" t="s">
        <v>138</v>
      </c>
      <c r="C737" s="5" t="s">
        <v>1757</v>
      </c>
      <c r="D737" t="s">
        <v>138</v>
      </c>
      <c r="E737" t="s">
        <v>6</v>
      </c>
      <c r="F737" t="s">
        <v>26</v>
      </c>
      <c r="G737" t="s">
        <v>35</v>
      </c>
      <c r="H737" s="5" t="s">
        <v>140</v>
      </c>
      <c r="I737" s="7">
        <v>-68</v>
      </c>
      <c r="J737" s="7">
        <v>68</v>
      </c>
      <c r="K737" s="7">
        <v>0</v>
      </c>
      <c r="L737" s="7">
        <v>27607.29</v>
      </c>
      <c r="M737" t="s">
        <v>1704</v>
      </c>
      <c r="N737" t="s">
        <v>55</v>
      </c>
      <c r="O737">
        <v>39</v>
      </c>
      <c r="P737" s="5" t="s">
        <v>1758</v>
      </c>
    </row>
    <row r="738" spans="1:16">
      <c r="A738" s="4">
        <v>46268</v>
      </c>
      <c r="B738" t="s">
        <v>73</v>
      </c>
      <c r="C738" s="5" t="s">
        <v>1759</v>
      </c>
      <c r="D738" t="s">
        <v>74</v>
      </c>
      <c r="E738" t="s">
        <v>3</v>
      </c>
      <c r="F738" t="s">
        <v>26</v>
      </c>
      <c r="G738" t="s">
        <v>35</v>
      </c>
      <c r="H738" s="5" t="s">
        <v>75</v>
      </c>
      <c r="I738" s="7">
        <v>-4.56</v>
      </c>
      <c r="J738" s="7">
        <v>4.56</v>
      </c>
      <c r="K738" s="7">
        <v>0</v>
      </c>
      <c r="L738" s="7">
        <v>27602.73</v>
      </c>
      <c r="M738" t="s">
        <v>1704</v>
      </c>
      <c r="N738" t="s">
        <v>55</v>
      </c>
      <c r="O738">
        <v>39</v>
      </c>
      <c r="P738" s="5" t="s">
        <v>1760</v>
      </c>
    </row>
    <row r="739" spans="1:16">
      <c r="A739" s="4">
        <v>46268</v>
      </c>
      <c r="B739" t="s">
        <v>142</v>
      </c>
      <c r="C739" s="5" t="s">
        <v>1761</v>
      </c>
      <c r="D739" t="s">
        <v>144</v>
      </c>
      <c r="E739" t="s">
        <v>4</v>
      </c>
      <c r="F739" t="s">
        <v>25</v>
      </c>
      <c r="G739" t="s">
        <v>35</v>
      </c>
      <c r="H739" s="5" t="s">
        <v>145</v>
      </c>
      <c r="I739" s="7">
        <v>-618.79</v>
      </c>
      <c r="J739" s="7">
        <v>618.79</v>
      </c>
      <c r="K739" s="7">
        <v>0</v>
      </c>
      <c r="L739" s="7">
        <v>26983.94</v>
      </c>
      <c r="M739" t="s">
        <v>1704</v>
      </c>
      <c r="N739" t="s">
        <v>55</v>
      </c>
      <c r="O739">
        <v>39</v>
      </c>
      <c r="P739" s="5" t="s">
        <v>1762</v>
      </c>
    </row>
    <row r="740" spans="1:16">
      <c r="A740" s="4">
        <v>46268</v>
      </c>
      <c r="B740" t="s">
        <v>1763</v>
      </c>
      <c r="C740" s="5" t="s">
        <v>1764</v>
      </c>
      <c r="D740" t="s">
        <v>1765</v>
      </c>
      <c r="E740" t="s">
        <v>3</v>
      </c>
      <c r="F740" t="s">
        <v>26</v>
      </c>
      <c r="G740" t="s">
        <v>35</v>
      </c>
      <c r="H740" s="5" t="s">
        <v>1766</v>
      </c>
      <c r="I740" s="7">
        <v>-18.83</v>
      </c>
      <c r="J740" s="7">
        <v>18.83</v>
      </c>
      <c r="K740" s="7">
        <v>0</v>
      </c>
      <c r="L740" s="7">
        <v>26965.11</v>
      </c>
      <c r="M740" t="s">
        <v>1704</v>
      </c>
      <c r="N740" t="s">
        <v>55</v>
      </c>
      <c r="O740">
        <v>39</v>
      </c>
      <c r="P740" s="5" t="s">
        <v>1767</v>
      </c>
    </row>
    <row r="741" spans="1:16">
      <c r="A741" s="4">
        <v>46268</v>
      </c>
      <c r="B741" t="s">
        <v>522</v>
      </c>
      <c r="C741" s="5" t="s">
        <v>1744</v>
      </c>
      <c r="D741" t="s">
        <v>523</v>
      </c>
      <c r="E741" t="s">
        <v>7</v>
      </c>
      <c r="F741" t="s">
        <v>25</v>
      </c>
      <c r="G741" t="s">
        <v>35</v>
      </c>
      <c r="H741" s="5" t="s">
        <v>524</v>
      </c>
      <c r="I741" s="7">
        <v>-11.99</v>
      </c>
      <c r="J741" s="7">
        <v>11.99</v>
      </c>
      <c r="K741" s="7">
        <v>0</v>
      </c>
      <c r="L741" s="7">
        <v>26953.12</v>
      </c>
      <c r="M741" t="s">
        <v>1704</v>
      </c>
      <c r="N741" t="s">
        <v>55</v>
      </c>
      <c r="O741">
        <v>39</v>
      </c>
      <c r="P741" s="5" t="s">
        <v>1768</v>
      </c>
    </row>
    <row r="742" spans="1:16">
      <c r="A742" s="4">
        <v>46268</v>
      </c>
      <c r="B742" t="s">
        <v>1505</v>
      </c>
      <c r="C742" s="5"/>
      <c r="D742" t="s">
        <v>1506</v>
      </c>
      <c r="E742" t="s">
        <v>21</v>
      </c>
      <c r="F742" t="s">
        <v>31</v>
      </c>
      <c r="G742" t="s">
        <v>37</v>
      </c>
      <c r="H742" s="5"/>
      <c r="I742" s="7">
        <v>67.59999999999999</v>
      </c>
      <c r="J742" s="7">
        <v>0</v>
      </c>
      <c r="K742" s="7">
        <v>67.59999999999999</v>
      </c>
      <c r="L742" s="7">
        <v>27020.72</v>
      </c>
      <c r="M742" t="s">
        <v>1704</v>
      </c>
      <c r="N742" t="s">
        <v>55</v>
      </c>
      <c r="O742">
        <v>39</v>
      </c>
      <c r="P742" s="5" t="s">
        <v>1769</v>
      </c>
    </row>
    <row r="743" spans="1:16">
      <c r="A743" s="4">
        <v>46269</v>
      </c>
      <c r="B743" t="s">
        <v>1770</v>
      </c>
      <c r="C743" s="5" t="s">
        <v>1771</v>
      </c>
      <c r="D743" t="s">
        <v>1772</v>
      </c>
      <c r="E743" t="s">
        <v>23</v>
      </c>
      <c r="F743" t="s">
        <v>28</v>
      </c>
      <c r="G743" t="s">
        <v>33</v>
      </c>
      <c r="H743" s="5" t="s">
        <v>1773</v>
      </c>
      <c r="I743" s="7">
        <v>-490</v>
      </c>
      <c r="J743" s="7">
        <v>490</v>
      </c>
      <c r="K743" s="7">
        <v>0</v>
      </c>
      <c r="L743" s="7">
        <v>26530.72</v>
      </c>
      <c r="M743" t="s">
        <v>1704</v>
      </c>
      <c r="N743" t="s">
        <v>55</v>
      </c>
      <c r="O743">
        <v>39</v>
      </c>
      <c r="P743" s="5" t="s">
        <v>1774</v>
      </c>
    </row>
    <row r="744" spans="1:16">
      <c r="A744" s="4">
        <v>46269</v>
      </c>
      <c r="B744" t="s">
        <v>1775</v>
      </c>
      <c r="C744" s="5" t="s">
        <v>1776</v>
      </c>
      <c r="D744" t="s">
        <v>1777</v>
      </c>
      <c r="E744" t="s">
        <v>7</v>
      </c>
      <c r="F744" t="s">
        <v>25</v>
      </c>
      <c r="G744" t="s">
        <v>35</v>
      </c>
      <c r="H744" s="5" t="s">
        <v>1778</v>
      </c>
      <c r="I744" s="7">
        <v>-153</v>
      </c>
      <c r="J744" s="7">
        <v>153</v>
      </c>
      <c r="K744" s="7">
        <v>0</v>
      </c>
      <c r="L744" s="7">
        <v>26377.72</v>
      </c>
      <c r="M744" t="s">
        <v>1704</v>
      </c>
      <c r="N744" t="s">
        <v>55</v>
      </c>
      <c r="O744">
        <v>40</v>
      </c>
      <c r="P744" s="5" t="s">
        <v>1779</v>
      </c>
    </row>
    <row r="745" spans="1:16">
      <c r="A745" s="4">
        <v>46269</v>
      </c>
      <c r="B745" t="s">
        <v>1780</v>
      </c>
      <c r="C745" s="5" t="s">
        <v>1781</v>
      </c>
      <c r="D745" t="s">
        <v>1782</v>
      </c>
      <c r="E745" t="s">
        <v>17</v>
      </c>
      <c r="F745" t="s">
        <v>29</v>
      </c>
      <c r="G745" s="8" t="s">
        <v>36</v>
      </c>
      <c r="H745" s="5"/>
      <c r="I745" s="7">
        <v>-18.2</v>
      </c>
      <c r="J745" s="7">
        <v>18.2</v>
      </c>
      <c r="K745" s="7">
        <v>0</v>
      </c>
      <c r="L745" s="7">
        <v>26359.52</v>
      </c>
      <c r="M745" t="s">
        <v>1704</v>
      </c>
      <c r="N745" t="s">
        <v>55</v>
      </c>
      <c r="O745">
        <v>40</v>
      </c>
      <c r="P745" s="5" t="s">
        <v>1783</v>
      </c>
    </row>
    <row r="746" spans="1:16">
      <c r="A746" s="4">
        <v>46269</v>
      </c>
      <c r="B746" t="s">
        <v>1519</v>
      </c>
      <c r="C746" s="5"/>
      <c r="D746" t="s">
        <v>1520</v>
      </c>
      <c r="E746" t="s">
        <v>3</v>
      </c>
      <c r="F746" t="s">
        <v>26</v>
      </c>
      <c r="G746" t="s">
        <v>35</v>
      </c>
      <c r="H746" s="5" t="s">
        <v>444</v>
      </c>
      <c r="I746" s="7">
        <v>-17.19</v>
      </c>
      <c r="J746" s="7">
        <v>17.19</v>
      </c>
      <c r="K746" s="7">
        <v>0</v>
      </c>
      <c r="L746" s="7">
        <v>26342.33</v>
      </c>
      <c r="M746" t="s">
        <v>1704</v>
      </c>
      <c r="N746" t="s">
        <v>55</v>
      </c>
      <c r="O746">
        <v>40</v>
      </c>
      <c r="P746" s="5" t="s">
        <v>1784</v>
      </c>
    </row>
    <row r="747" spans="1:16">
      <c r="A747" s="4">
        <v>46269</v>
      </c>
      <c r="B747" t="s">
        <v>318</v>
      </c>
      <c r="C747" s="5" t="s">
        <v>1785</v>
      </c>
      <c r="D747" t="s">
        <v>320</v>
      </c>
      <c r="E747" t="s">
        <v>6</v>
      </c>
      <c r="F747" t="s">
        <v>26</v>
      </c>
      <c r="G747" t="s">
        <v>35</v>
      </c>
      <c r="H747" s="5" t="s">
        <v>321</v>
      </c>
      <c r="I747" s="7">
        <v>-22.9</v>
      </c>
      <c r="J747" s="7">
        <v>22.9</v>
      </c>
      <c r="K747" s="7">
        <v>0</v>
      </c>
      <c r="L747" s="7">
        <v>26319.43</v>
      </c>
      <c r="M747" t="s">
        <v>1704</v>
      </c>
      <c r="N747" t="s">
        <v>55</v>
      </c>
      <c r="O747">
        <v>40</v>
      </c>
      <c r="P747" s="5" t="s">
        <v>1786</v>
      </c>
    </row>
    <row r="748" spans="1:16">
      <c r="A748" s="4">
        <v>46269</v>
      </c>
      <c r="B748" t="s">
        <v>318</v>
      </c>
      <c r="C748" s="5" t="s">
        <v>1787</v>
      </c>
      <c r="D748" t="s">
        <v>320</v>
      </c>
      <c r="E748" t="s">
        <v>6</v>
      </c>
      <c r="F748" t="s">
        <v>26</v>
      </c>
      <c r="G748" t="s">
        <v>35</v>
      </c>
      <c r="H748" s="5" t="s">
        <v>321</v>
      </c>
      <c r="I748" s="7">
        <v>-30.9</v>
      </c>
      <c r="J748" s="7">
        <v>30.9</v>
      </c>
      <c r="K748" s="7">
        <v>0</v>
      </c>
      <c r="L748" s="7">
        <v>26288.53</v>
      </c>
      <c r="M748" t="s">
        <v>1704</v>
      </c>
      <c r="N748" t="s">
        <v>55</v>
      </c>
      <c r="O748">
        <v>40</v>
      </c>
      <c r="P748" s="5" t="s">
        <v>1788</v>
      </c>
    </row>
    <row r="749" spans="1:16">
      <c r="A749" s="4">
        <v>46270</v>
      </c>
      <c r="B749" t="s">
        <v>1789</v>
      </c>
      <c r="C749" s="5" t="s">
        <v>1790</v>
      </c>
      <c r="D749" t="s">
        <v>1791</v>
      </c>
      <c r="E749" t="s">
        <v>3</v>
      </c>
      <c r="F749" t="s">
        <v>26</v>
      </c>
      <c r="G749" t="s">
        <v>35</v>
      </c>
      <c r="H749" s="5" t="s">
        <v>75</v>
      </c>
      <c r="I749" s="7">
        <v>-6.29</v>
      </c>
      <c r="J749" s="7">
        <v>6.29</v>
      </c>
      <c r="K749" s="7">
        <v>0</v>
      </c>
      <c r="L749" s="7">
        <v>26282.24</v>
      </c>
      <c r="M749" t="s">
        <v>1704</v>
      </c>
      <c r="N749" t="s">
        <v>55</v>
      </c>
      <c r="O749">
        <v>40</v>
      </c>
      <c r="P749" s="5" t="s">
        <v>1792</v>
      </c>
    </row>
    <row r="750" spans="1:16">
      <c r="A750" s="4">
        <v>46270</v>
      </c>
      <c r="B750" t="s">
        <v>81</v>
      </c>
      <c r="C750" s="5" t="s">
        <v>1790</v>
      </c>
      <c r="D750" t="s">
        <v>83</v>
      </c>
      <c r="E750" t="s">
        <v>2</v>
      </c>
      <c r="F750" t="s">
        <v>25</v>
      </c>
      <c r="G750" t="s">
        <v>35</v>
      </c>
      <c r="H750" s="5" t="s">
        <v>84</v>
      </c>
      <c r="I750" s="7">
        <v>-41.09</v>
      </c>
      <c r="J750" s="7">
        <v>41.09</v>
      </c>
      <c r="K750" s="7">
        <v>0</v>
      </c>
      <c r="L750" s="7">
        <v>26241.15</v>
      </c>
      <c r="M750" t="s">
        <v>1704</v>
      </c>
      <c r="N750" t="s">
        <v>55</v>
      </c>
      <c r="O750">
        <v>40</v>
      </c>
      <c r="P750" s="5" t="s">
        <v>1793</v>
      </c>
    </row>
    <row r="751" spans="1:16">
      <c r="A751" s="4">
        <v>46270</v>
      </c>
      <c r="B751" t="s">
        <v>966</v>
      </c>
      <c r="C751" s="5" t="s">
        <v>1776</v>
      </c>
      <c r="D751" t="s">
        <v>100</v>
      </c>
      <c r="E751" t="s">
        <v>5</v>
      </c>
      <c r="F751" t="s">
        <v>25</v>
      </c>
      <c r="G751" t="s">
        <v>33</v>
      </c>
      <c r="H751" s="5" t="s">
        <v>968</v>
      </c>
      <c r="I751" s="7">
        <v>-5.77</v>
      </c>
      <c r="J751" s="7">
        <v>5.77</v>
      </c>
      <c r="K751" s="7">
        <v>0</v>
      </c>
      <c r="L751" s="7">
        <v>26235.38</v>
      </c>
      <c r="M751" t="s">
        <v>1704</v>
      </c>
      <c r="N751" t="s">
        <v>55</v>
      </c>
      <c r="O751">
        <v>40</v>
      </c>
      <c r="P751" s="5" t="s">
        <v>1794</v>
      </c>
    </row>
    <row r="752" spans="1:16">
      <c r="A752" s="4">
        <v>46270</v>
      </c>
      <c r="B752" t="s">
        <v>518</v>
      </c>
      <c r="C752" s="5" t="s">
        <v>1776</v>
      </c>
      <c r="D752" t="s">
        <v>520</v>
      </c>
      <c r="E752" t="s">
        <v>3</v>
      </c>
      <c r="F752" t="s">
        <v>26</v>
      </c>
      <c r="G752" t="s">
        <v>35</v>
      </c>
      <c r="H752" s="5" t="s">
        <v>299</v>
      </c>
      <c r="I752" s="7">
        <v>-4.66</v>
      </c>
      <c r="J752" s="7">
        <v>4.66</v>
      </c>
      <c r="K752" s="7">
        <v>0</v>
      </c>
      <c r="L752" s="7">
        <v>26230.72</v>
      </c>
      <c r="M752" t="s">
        <v>1704</v>
      </c>
      <c r="N752" t="s">
        <v>55</v>
      </c>
      <c r="O752">
        <v>40</v>
      </c>
      <c r="P752" s="5" t="s">
        <v>1795</v>
      </c>
    </row>
    <row r="753" spans="1:16">
      <c r="A753" s="4">
        <v>46270</v>
      </c>
      <c r="B753" t="s">
        <v>1796</v>
      </c>
      <c r="C753" s="5" t="s">
        <v>1776</v>
      </c>
      <c r="D753" t="s">
        <v>1797</v>
      </c>
      <c r="E753" t="s">
        <v>3</v>
      </c>
      <c r="F753" t="s">
        <v>26</v>
      </c>
      <c r="G753" t="s">
        <v>35</v>
      </c>
      <c r="H753" s="5" t="s">
        <v>316</v>
      </c>
      <c r="I753" s="7">
        <v>-6</v>
      </c>
      <c r="J753" s="7">
        <v>6</v>
      </c>
      <c r="K753" s="7">
        <v>0</v>
      </c>
      <c r="L753" s="7">
        <v>26224.72</v>
      </c>
      <c r="M753" t="s">
        <v>1704</v>
      </c>
      <c r="N753" t="s">
        <v>55</v>
      </c>
      <c r="O753">
        <v>40</v>
      </c>
      <c r="P753" s="5" t="s">
        <v>1798</v>
      </c>
    </row>
    <row r="754" spans="1:16">
      <c r="A754" s="4">
        <v>46270</v>
      </c>
      <c r="B754" t="s">
        <v>354</v>
      </c>
      <c r="C754" s="5"/>
      <c r="D754" t="s">
        <v>355</v>
      </c>
      <c r="E754" t="s">
        <v>2</v>
      </c>
      <c r="F754" t="s">
        <v>25</v>
      </c>
      <c r="G754" t="s">
        <v>35</v>
      </c>
      <c r="H754" s="5" t="s">
        <v>356</v>
      </c>
      <c r="I754" s="7">
        <v>-6.39</v>
      </c>
      <c r="J754" s="7">
        <v>6.39</v>
      </c>
      <c r="K754" s="7">
        <v>0</v>
      </c>
      <c r="L754" s="7">
        <v>26218.33</v>
      </c>
      <c r="M754" t="s">
        <v>1704</v>
      </c>
      <c r="N754" t="s">
        <v>55</v>
      </c>
      <c r="O754">
        <v>40</v>
      </c>
      <c r="P754" s="5" t="s">
        <v>1799</v>
      </c>
    </row>
    <row r="755" spans="1:16">
      <c r="A755" s="4">
        <v>46270</v>
      </c>
      <c r="B755" t="s">
        <v>339</v>
      </c>
      <c r="C755" s="5"/>
      <c r="D755" t="s">
        <v>340</v>
      </c>
      <c r="E755" t="s">
        <v>3</v>
      </c>
      <c r="F755" t="s">
        <v>26</v>
      </c>
      <c r="G755" t="s">
        <v>35</v>
      </c>
      <c r="H755" s="5" t="s">
        <v>341</v>
      </c>
      <c r="I755" s="7">
        <v>-13.49</v>
      </c>
      <c r="J755" s="7">
        <v>13.49</v>
      </c>
      <c r="K755" s="7">
        <v>0</v>
      </c>
      <c r="L755" s="7">
        <v>26204.84</v>
      </c>
      <c r="M755" t="s">
        <v>1704</v>
      </c>
      <c r="N755" t="s">
        <v>55</v>
      </c>
      <c r="O755">
        <v>40</v>
      </c>
      <c r="P755" s="5" t="s">
        <v>1800</v>
      </c>
    </row>
    <row r="756" spans="1:16">
      <c r="A756" s="4">
        <v>46270</v>
      </c>
      <c r="B756" t="s">
        <v>133</v>
      </c>
      <c r="C756" s="5"/>
      <c r="D756" t="s">
        <v>83</v>
      </c>
      <c r="E756" t="s">
        <v>2</v>
      </c>
      <c r="F756" t="s">
        <v>25</v>
      </c>
      <c r="G756" t="s">
        <v>35</v>
      </c>
      <c r="H756" s="5" t="s">
        <v>84</v>
      </c>
      <c r="I756" s="7">
        <v>-10.5</v>
      </c>
      <c r="J756" s="7">
        <v>10.5</v>
      </c>
      <c r="K756" s="7">
        <v>0</v>
      </c>
      <c r="L756" s="7">
        <v>26194.34</v>
      </c>
      <c r="M756" t="s">
        <v>1704</v>
      </c>
      <c r="N756" t="s">
        <v>55</v>
      </c>
      <c r="O756">
        <v>40</v>
      </c>
      <c r="P756" s="5" t="s">
        <v>1801</v>
      </c>
    </row>
    <row r="757" spans="1:16">
      <c r="A757" s="4">
        <v>46271</v>
      </c>
      <c r="B757" t="s">
        <v>219</v>
      </c>
      <c r="C757" s="5" t="s">
        <v>1229</v>
      </c>
      <c r="D757" t="s">
        <v>219</v>
      </c>
      <c r="E757" t="s">
        <v>18</v>
      </c>
      <c r="F757" t="s">
        <v>30</v>
      </c>
      <c r="G757" t="s">
        <v>37</v>
      </c>
      <c r="H757" s="5"/>
      <c r="I757" s="7">
        <v>-7</v>
      </c>
      <c r="J757" s="7">
        <v>7</v>
      </c>
      <c r="K757" s="7">
        <v>0</v>
      </c>
      <c r="L757" s="7">
        <v>26187.34</v>
      </c>
      <c r="M757" t="s">
        <v>1704</v>
      </c>
      <c r="N757" t="s">
        <v>55</v>
      </c>
      <c r="O757">
        <v>40</v>
      </c>
      <c r="P757" s="5" t="s">
        <v>1802</v>
      </c>
    </row>
    <row r="758" spans="1:16">
      <c r="A758" s="4">
        <v>46272</v>
      </c>
      <c r="B758" t="s">
        <v>1803</v>
      </c>
      <c r="C758" s="5"/>
      <c r="D758" t="s">
        <v>1804</v>
      </c>
      <c r="E758" t="s">
        <v>5</v>
      </c>
      <c r="F758" t="s">
        <v>25</v>
      </c>
      <c r="G758" t="s">
        <v>33</v>
      </c>
      <c r="H758" s="5" t="s">
        <v>1805</v>
      </c>
      <c r="I758" s="7">
        <v>-87.15000000000001</v>
      </c>
      <c r="J758" s="7">
        <v>87.15000000000001</v>
      </c>
      <c r="K758" s="7">
        <v>0</v>
      </c>
      <c r="L758" s="7">
        <v>26100.19</v>
      </c>
      <c r="M758" t="s">
        <v>1704</v>
      </c>
      <c r="N758" t="s">
        <v>55</v>
      </c>
      <c r="O758">
        <v>40</v>
      </c>
      <c r="P758" s="5" t="s">
        <v>1806</v>
      </c>
    </row>
    <row r="759" spans="1:16">
      <c r="A759" s="4">
        <v>46272</v>
      </c>
      <c r="B759" t="s">
        <v>133</v>
      </c>
      <c r="C759" s="5"/>
      <c r="D759" t="s">
        <v>83</v>
      </c>
      <c r="E759" t="s">
        <v>2</v>
      </c>
      <c r="F759" t="s">
        <v>25</v>
      </c>
      <c r="G759" t="s">
        <v>35</v>
      </c>
      <c r="H759" s="5" t="s">
        <v>84</v>
      </c>
      <c r="I759" s="7">
        <v>-2.46</v>
      </c>
      <c r="J759" s="7">
        <v>2.46</v>
      </c>
      <c r="K759" s="7">
        <v>0</v>
      </c>
      <c r="L759" s="7">
        <v>26097.73</v>
      </c>
      <c r="M759" t="s">
        <v>1704</v>
      </c>
      <c r="N759" t="s">
        <v>55</v>
      </c>
      <c r="O759">
        <v>40</v>
      </c>
      <c r="P759" s="5" t="s">
        <v>1807</v>
      </c>
    </row>
    <row r="760" spans="1:16">
      <c r="A760" s="4">
        <v>46273</v>
      </c>
      <c r="B760" t="s">
        <v>1808</v>
      </c>
      <c r="C760" s="5" t="s">
        <v>1809</v>
      </c>
      <c r="D760" t="s">
        <v>1810</v>
      </c>
      <c r="E760" t="s">
        <v>3</v>
      </c>
      <c r="F760" t="s">
        <v>26</v>
      </c>
      <c r="G760" t="s">
        <v>35</v>
      </c>
      <c r="H760" s="5" t="s">
        <v>444</v>
      </c>
      <c r="I760" s="7">
        <v>-12.69</v>
      </c>
      <c r="J760" s="7">
        <v>12.69</v>
      </c>
      <c r="K760" s="7">
        <v>0</v>
      </c>
      <c r="L760" s="7">
        <v>26085.04</v>
      </c>
      <c r="M760" t="s">
        <v>1704</v>
      </c>
      <c r="N760" t="s">
        <v>55</v>
      </c>
      <c r="O760">
        <v>40</v>
      </c>
      <c r="P760" s="5" t="s">
        <v>1811</v>
      </c>
    </row>
    <row r="761" spans="1:16">
      <c r="A761" s="4">
        <v>46273</v>
      </c>
      <c r="B761" t="s">
        <v>235</v>
      </c>
      <c r="C761" s="5" t="s">
        <v>1812</v>
      </c>
      <c r="D761" t="s">
        <v>100</v>
      </c>
      <c r="E761" t="s">
        <v>5</v>
      </c>
      <c r="F761" t="s">
        <v>25</v>
      </c>
      <c r="G761" t="s">
        <v>33</v>
      </c>
      <c r="H761" s="5" t="s">
        <v>101</v>
      </c>
      <c r="I761" s="7">
        <v>-60</v>
      </c>
      <c r="J761" s="7">
        <v>60</v>
      </c>
      <c r="K761" s="7">
        <v>0</v>
      </c>
      <c r="L761" s="7">
        <v>26025.04</v>
      </c>
      <c r="M761" t="s">
        <v>1704</v>
      </c>
      <c r="N761" t="s">
        <v>55</v>
      </c>
      <c r="O761">
        <v>40</v>
      </c>
      <c r="P761" s="5" t="s">
        <v>1813</v>
      </c>
    </row>
    <row r="762" spans="1:16">
      <c r="A762" s="4">
        <v>46273</v>
      </c>
      <c r="B762" t="s">
        <v>77</v>
      </c>
      <c r="C762" s="5" t="s">
        <v>1814</v>
      </c>
      <c r="D762" t="s">
        <v>78</v>
      </c>
      <c r="E762" t="s">
        <v>3</v>
      </c>
      <c r="F762" t="s">
        <v>26</v>
      </c>
      <c r="G762" t="s">
        <v>35</v>
      </c>
      <c r="H762" s="5" t="s">
        <v>79</v>
      </c>
      <c r="I762" s="7">
        <v>-5.64</v>
      </c>
      <c r="J762" s="7">
        <v>5.64</v>
      </c>
      <c r="K762" s="7">
        <v>0</v>
      </c>
      <c r="L762" s="7">
        <v>26019.4</v>
      </c>
      <c r="M762" t="s">
        <v>1704</v>
      </c>
      <c r="N762" t="s">
        <v>55</v>
      </c>
      <c r="O762">
        <v>40</v>
      </c>
      <c r="P762" s="5" t="s">
        <v>1815</v>
      </c>
    </row>
    <row r="763" spans="1:16">
      <c r="A763" s="4">
        <v>46273</v>
      </c>
      <c r="B763" t="s">
        <v>1816</v>
      </c>
      <c r="C763" s="5" t="s">
        <v>1814</v>
      </c>
      <c r="D763" t="s">
        <v>1817</v>
      </c>
      <c r="E763" t="s">
        <v>17</v>
      </c>
      <c r="F763" t="s">
        <v>29</v>
      </c>
      <c r="G763" s="8" t="s">
        <v>36</v>
      </c>
      <c r="H763" s="5"/>
      <c r="I763" s="7">
        <v>-6.88</v>
      </c>
      <c r="J763" s="7">
        <v>6.88</v>
      </c>
      <c r="K763" s="7">
        <v>0</v>
      </c>
      <c r="L763" s="7">
        <v>26012.52</v>
      </c>
      <c r="M763" t="s">
        <v>1704</v>
      </c>
      <c r="N763" t="s">
        <v>55</v>
      </c>
      <c r="O763">
        <v>41</v>
      </c>
      <c r="P763" s="5" t="s">
        <v>1818</v>
      </c>
    </row>
    <row r="764" spans="1:16">
      <c r="A764" s="4">
        <v>46273</v>
      </c>
      <c r="B764" t="s">
        <v>81</v>
      </c>
      <c r="C764" s="5" t="s">
        <v>1814</v>
      </c>
      <c r="D764" t="s">
        <v>83</v>
      </c>
      <c r="E764" t="s">
        <v>2</v>
      </c>
      <c r="F764" t="s">
        <v>25</v>
      </c>
      <c r="G764" t="s">
        <v>35</v>
      </c>
      <c r="H764" s="5" t="s">
        <v>84</v>
      </c>
      <c r="I764" s="7">
        <v>-31.09</v>
      </c>
      <c r="J764" s="7">
        <v>31.09</v>
      </c>
      <c r="K764" s="7">
        <v>0</v>
      </c>
      <c r="L764" s="7">
        <v>25981.43</v>
      </c>
      <c r="M764" t="s">
        <v>1704</v>
      </c>
      <c r="N764" t="s">
        <v>55</v>
      </c>
      <c r="O764">
        <v>41</v>
      </c>
      <c r="P764" s="5" t="s">
        <v>1819</v>
      </c>
    </row>
    <row r="765" spans="1:16">
      <c r="A765" s="4">
        <v>46273</v>
      </c>
      <c r="B765" t="s">
        <v>235</v>
      </c>
      <c r="C765" s="5" t="s">
        <v>1820</v>
      </c>
      <c r="D765" t="s">
        <v>100</v>
      </c>
      <c r="E765" t="s">
        <v>5</v>
      </c>
      <c r="F765" t="s">
        <v>25</v>
      </c>
      <c r="G765" t="s">
        <v>33</v>
      </c>
      <c r="H765" s="5" t="s">
        <v>101</v>
      </c>
      <c r="I765" s="7">
        <v>-60</v>
      </c>
      <c r="J765" s="7">
        <v>60</v>
      </c>
      <c r="K765" s="7">
        <v>0</v>
      </c>
      <c r="L765" s="7">
        <v>25921.43</v>
      </c>
      <c r="M765" t="s">
        <v>1704</v>
      </c>
      <c r="N765" t="s">
        <v>55</v>
      </c>
      <c r="O765">
        <v>41</v>
      </c>
      <c r="P765" s="5" t="s">
        <v>1821</v>
      </c>
    </row>
    <row r="766" spans="1:16">
      <c r="A766" s="4">
        <v>46273</v>
      </c>
      <c r="B766" t="s">
        <v>1474</v>
      </c>
      <c r="C766" s="5" t="s">
        <v>1822</v>
      </c>
      <c r="D766" t="s">
        <v>1476</v>
      </c>
      <c r="E766" t="s">
        <v>3</v>
      </c>
      <c r="F766" t="s">
        <v>26</v>
      </c>
      <c r="G766" t="s">
        <v>33</v>
      </c>
      <c r="H766" s="5" t="s">
        <v>1477</v>
      </c>
      <c r="I766" s="7">
        <v>-5.26</v>
      </c>
      <c r="J766" s="7">
        <v>5.26</v>
      </c>
      <c r="K766" s="7">
        <v>0</v>
      </c>
      <c r="L766" s="7">
        <v>25916.17</v>
      </c>
      <c r="M766" t="s">
        <v>1704</v>
      </c>
      <c r="N766" t="s">
        <v>55</v>
      </c>
      <c r="O766">
        <v>41</v>
      </c>
      <c r="P766" s="5" t="s">
        <v>1823</v>
      </c>
    </row>
    <row r="767" spans="1:16">
      <c r="A767" s="4">
        <v>46273</v>
      </c>
      <c r="B767" t="s">
        <v>1582</v>
      </c>
      <c r="C767" s="5" t="s">
        <v>1822</v>
      </c>
      <c r="D767" t="s">
        <v>1583</v>
      </c>
      <c r="E767" t="s">
        <v>3</v>
      </c>
      <c r="F767" t="s">
        <v>26</v>
      </c>
      <c r="G767" t="s">
        <v>35</v>
      </c>
      <c r="H767" s="5" t="s">
        <v>1220</v>
      </c>
      <c r="I767" s="7">
        <v>-71.56</v>
      </c>
      <c r="J767" s="7">
        <v>71.56</v>
      </c>
      <c r="K767" s="7">
        <v>0</v>
      </c>
      <c r="L767" s="7">
        <v>25844.61</v>
      </c>
      <c r="M767" t="s">
        <v>1704</v>
      </c>
      <c r="N767" t="s">
        <v>55</v>
      </c>
      <c r="O767">
        <v>41</v>
      </c>
      <c r="P767" s="5" t="s">
        <v>1824</v>
      </c>
    </row>
    <row r="768" spans="1:16">
      <c r="A768" s="4">
        <v>46273</v>
      </c>
      <c r="B768" t="s">
        <v>81</v>
      </c>
      <c r="C768" s="5" t="s">
        <v>1822</v>
      </c>
      <c r="D768" t="s">
        <v>83</v>
      </c>
      <c r="E768" t="s">
        <v>2</v>
      </c>
      <c r="F768" t="s">
        <v>25</v>
      </c>
      <c r="G768" t="s">
        <v>35</v>
      </c>
      <c r="H768" s="5" t="s">
        <v>84</v>
      </c>
      <c r="I768" s="7">
        <v>-32.27</v>
      </c>
      <c r="J768" s="7">
        <v>32.27</v>
      </c>
      <c r="K768" s="7">
        <v>0</v>
      </c>
      <c r="L768" s="7">
        <v>25812.34</v>
      </c>
      <c r="M768" t="s">
        <v>1704</v>
      </c>
      <c r="N768" t="s">
        <v>55</v>
      </c>
      <c r="O768">
        <v>41</v>
      </c>
      <c r="P768" s="5" t="s">
        <v>1825</v>
      </c>
    </row>
    <row r="769" spans="1:16">
      <c r="A769" s="4">
        <v>46273</v>
      </c>
      <c r="B769" t="s">
        <v>1826</v>
      </c>
      <c r="C769" s="5" t="s">
        <v>1790</v>
      </c>
      <c r="D769" t="s">
        <v>1827</v>
      </c>
      <c r="E769" t="s">
        <v>5</v>
      </c>
      <c r="F769" t="s">
        <v>25</v>
      </c>
      <c r="G769" t="s">
        <v>33</v>
      </c>
      <c r="H769" s="5" t="s">
        <v>1828</v>
      </c>
      <c r="I769" s="7">
        <v>-10</v>
      </c>
      <c r="J769" s="7">
        <v>10</v>
      </c>
      <c r="K769" s="7">
        <v>0</v>
      </c>
      <c r="L769" s="7">
        <v>25802.34</v>
      </c>
      <c r="M769" t="s">
        <v>1704</v>
      </c>
      <c r="N769" t="s">
        <v>55</v>
      </c>
      <c r="O769">
        <v>41</v>
      </c>
      <c r="P769" s="5" t="s">
        <v>1829</v>
      </c>
    </row>
    <row r="770" spans="1:16">
      <c r="A770" s="4">
        <v>46273</v>
      </c>
      <c r="B770" t="s">
        <v>1830</v>
      </c>
      <c r="C770" s="5" t="s">
        <v>1820</v>
      </c>
      <c r="D770" t="s">
        <v>535</v>
      </c>
      <c r="E770" t="s">
        <v>3</v>
      </c>
      <c r="F770" t="s">
        <v>26</v>
      </c>
      <c r="G770" t="s">
        <v>35</v>
      </c>
      <c r="H770" s="5" t="s">
        <v>316</v>
      </c>
      <c r="I770" s="7">
        <v>-15.2</v>
      </c>
      <c r="J770" s="7">
        <v>15.2</v>
      </c>
      <c r="K770" s="7">
        <v>0</v>
      </c>
      <c r="L770" s="7">
        <v>25787.14</v>
      </c>
      <c r="M770" t="s">
        <v>1704</v>
      </c>
      <c r="N770" t="s">
        <v>55</v>
      </c>
      <c r="O770">
        <v>41</v>
      </c>
      <c r="P770" s="5" t="s">
        <v>1831</v>
      </c>
    </row>
    <row r="771" spans="1:16">
      <c r="A771" s="4">
        <v>46273</v>
      </c>
      <c r="B771" t="s">
        <v>1832</v>
      </c>
      <c r="C771" s="5" t="s">
        <v>1820</v>
      </c>
      <c r="D771" t="s">
        <v>1833</v>
      </c>
      <c r="E771" t="s">
        <v>17</v>
      </c>
      <c r="F771" t="s">
        <v>29</v>
      </c>
      <c r="G771" s="8" t="s">
        <v>36</v>
      </c>
      <c r="H771" s="5"/>
      <c r="I771" s="7">
        <v>-69.55</v>
      </c>
      <c r="J771" s="7">
        <v>69.55</v>
      </c>
      <c r="K771" s="7">
        <v>0</v>
      </c>
      <c r="L771" s="7">
        <v>25717.59</v>
      </c>
      <c r="M771" t="s">
        <v>1704</v>
      </c>
      <c r="N771" t="s">
        <v>55</v>
      </c>
      <c r="O771">
        <v>41</v>
      </c>
      <c r="P771" s="5" t="s">
        <v>1834</v>
      </c>
    </row>
    <row r="772" spans="1:16">
      <c r="A772" s="4">
        <v>46273</v>
      </c>
      <c r="B772" t="s">
        <v>1835</v>
      </c>
      <c r="C772" s="5" t="s">
        <v>1820</v>
      </c>
      <c r="D772" t="s">
        <v>1836</v>
      </c>
      <c r="E772" t="s">
        <v>17</v>
      </c>
      <c r="F772" t="s">
        <v>29</v>
      </c>
      <c r="G772" s="8" t="s">
        <v>36</v>
      </c>
      <c r="H772" s="5"/>
      <c r="I772" s="7">
        <v>-17.2</v>
      </c>
      <c r="J772" s="7">
        <v>17.2</v>
      </c>
      <c r="K772" s="7">
        <v>0</v>
      </c>
      <c r="L772" s="7">
        <v>25700.39</v>
      </c>
      <c r="M772" t="s">
        <v>1704</v>
      </c>
      <c r="N772" t="s">
        <v>55</v>
      </c>
      <c r="O772">
        <v>41</v>
      </c>
      <c r="P772" s="5" t="s">
        <v>1837</v>
      </c>
    </row>
    <row r="773" spans="1:16">
      <c r="A773" s="4">
        <v>46273</v>
      </c>
      <c r="B773" t="s">
        <v>200</v>
      </c>
      <c r="C773" s="5" t="s">
        <v>1820</v>
      </c>
      <c r="D773" t="s">
        <v>202</v>
      </c>
      <c r="E773" t="s">
        <v>3</v>
      </c>
      <c r="F773" t="s">
        <v>26</v>
      </c>
      <c r="G773" t="s">
        <v>35</v>
      </c>
      <c r="H773" s="5" t="s">
        <v>203</v>
      </c>
      <c r="I773" s="7">
        <v>-18</v>
      </c>
      <c r="J773" s="7">
        <v>18</v>
      </c>
      <c r="K773" s="7">
        <v>0</v>
      </c>
      <c r="L773" s="7">
        <v>25682.39</v>
      </c>
      <c r="M773" t="s">
        <v>1704</v>
      </c>
      <c r="N773" t="s">
        <v>55</v>
      </c>
      <c r="O773">
        <v>41</v>
      </c>
      <c r="P773" s="5" t="s">
        <v>1838</v>
      </c>
    </row>
    <row r="774" spans="1:16">
      <c r="A774" s="4">
        <v>46273</v>
      </c>
      <c r="B774" t="s">
        <v>200</v>
      </c>
      <c r="C774" s="5" t="s">
        <v>1820</v>
      </c>
      <c r="D774" t="s">
        <v>202</v>
      </c>
      <c r="E774" t="s">
        <v>3</v>
      </c>
      <c r="F774" t="s">
        <v>26</v>
      </c>
      <c r="G774" t="s">
        <v>35</v>
      </c>
      <c r="H774" s="5" t="s">
        <v>203</v>
      </c>
      <c r="I774" s="7">
        <v>-35</v>
      </c>
      <c r="J774" s="7">
        <v>35</v>
      </c>
      <c r="K774" s="7">
        <v>0</v>
      </c>
      <c r="L774" s="7">
        <v>25647.39</v>
      </c>
      <c r="M774" t="s">
        <v>1704</v>
      </c>
      <c r="N774" t="s">
        <v>55</v>
      </c>
      <c r="O774">
        <v>41</v>
      </c>
      <c r="P774" s="5" t="s">
        <v>1839</v>
      </c>
    </row>
    <row r="775" spans="1:16">
      <c r="A775" s="4">
        <v>46273</v>
      </c>
      <c r="B775" t="s">
        <v>69</v>
      </c>
      <c r="C775" s="5" t="s">
        <v>1840</v>
      </c>
      <c r="D775" t="s">
        <v>71</v>
      </c>
      <c r="E775" t="s">
        <v>17</v>
      </c>
      <c r="F775" t="s">
        <v>29</v>
      </c>
      <c r="G775" s="8" t="s">
        <v>36</v>
      </c>
      <c r="H775" s="5"/>
      <c r="I775" s="7">
        <v>-8.130000000000001</v>
      </c>
      <c r="J775" s="7">
        <v>8.130000000000001</v>
      </c>
      <c r="K775" s="7">
        <v>0</v>
      </c>
      <c r="L775" s="7">
        <v>25639.26</v>
      </c>
      <c r="M775" t="s">
        <v>1704</v>
      </c>
      <c r="N775" t="s">
        <v>55</v>
      </c>
      <c r="O775">
        <v>41</v>
      </c>
      <c r="P775" s="5" t="s">
        <v>1841</v>
      </c>
    </row>
    <row r="776" spans="1:16">
      <c r="A776" s="4">
        <v>46273</v>
      </c>
      <c r="B776" t="s">
        <v>1007</v>
      </c>
      <c r="C776" s="5" t="s">
        <v>1840</v>
      </c>
      <c r="D776" t="s">
        <v>1008</v>
      </c>
      <c r="E776" t="s">
        <v>3</v>
      </c>
      <c r="F776" t="s">
        <v>26</v>
      </c>
      <c r="G776" t="s">
        <v>35</v>
      </c>
      <c r="H776" s="5" t="s">
        <v>1009</v>
      </c>
      <c r="I776" s="7">
        <v>-12.78</v>
      </c>
      <c r="J776" s="7">
        <v>12.78</v>
      </c>
      <c r="K776" s="7">
        <v>0</v>
      </c>
      <c r="L776" s="7">
        <v>25626.48</v>
      </c>
      <c r="M776" t="s">
        <v>1704</v>
      </c>
      <c r="N776" t="s">
        <v>55</v>
      </c>
      <c r="O776">
        <v>41</v>
      </c>
      <c r="P776" s="5" t="s">
        <v>1842</v>
      </c>
    </row>
    <row r="777" spans="1:16">
      <c r="A777" s="4">
        <v>46273</v>
      </c>
      <c r="B777" t="s">
        <v>966</v>
      </c>
      <c r="C777" s="5" t="s">
        <v>1843</v>
      </c>
      <c r="D777" t="s">
        <v>100</v>
      </c>
      <c r="E777" t="s">
        <v>5</v>
      </c>
      <c r="F777" t="s">
        <v>25</v>
      </c>
      <c r="G777" t="s">
        <v>33</v>
      </c>
      <c r="H777" s="5" t="s">
        <v>968</v>
      </c>
      <c r="I777" s="7">
        <v>-6.28</v>
      </c>
      <c r="J777" s="7">
        <v>6.28</v>
      </c>
      <c r="K777" s="7">
        <v>0</v>
      </c>
      <c r="L777" s="7">
        <v>25620.2</v>
      </c>
      <c r="M777" t="s">
        <v>1704</v>
      </c>
      <c r="N777" t="s">
        <v>55</v>
      </c>
      <c r="O777">
        <v>41</v>
      </c>
      <c r="P777" s="5" t="s">
        <v>1844</v>
      </c>
    </row>
    <row r="778" spans="1:16">
      <c r="A778" s="4">
        <v>46273</v>
      </c>
      <c r="B778" t="s">
        <v>1845</v>
      </c>
      <c r="C778" s="5" t="s">
        <v>1843</v>
      </c>
      <c r="D778" t="s">
        <v>1846</v>
      </c>
      <c r="E778" t="s">
        <v>17</v>
      </c>
      <c r="F778" t="s">
        <v>29</v>
      </c>
      <c r="G778" s="8" t="s">
        <v>36</v>
      </c>
      <c r="H778" s="5"/>
      <c r="I778" s="7">
        <v>-5.5</v>
      </c>
      <c r="J778" s="7">
        <v>5.5</v>
      </c>
      <c r="K778" s="7">
        <v>0</v>
      </c>
      <c r="L778" s="7">
        <v>25614.7</v>
      </c>
      <c r="M778" t="s">
        <v>1704</v>
      </c>
      <c r="N778" t="s">
        <v>55</v>
      </c>
      <c r="O778">
        <v>42</v>
      </c>
      <c r="P778" s="5" t="s">
        <v>1847</v>
      </c>
    </row>
    <row r="779" spans="1:16">
      <c r="A779" s="4">
        <v>46273</v>
      </c>
      <c r="B779" t="s">
        <v>1848</v>
      </c>
      <c r="C779" s="5" t="s">
        <v>1843</v>
      </c>
      <c r="D779" t="s">
        <v>1849</v>
      </c>
      <c r="E779" t="s">
        <v>17</v>
      </c>
      <c r="F779" t="s">
        <v>29</v>
      </c>
      <c r="G779" s="8" t="s">
        <v>36</v>
      </c>
      <c r="H779" s="5"/>
      <c r="I779" s="7">
        <v>-9.140000000000001</v>
      </c>
      <c r="J779" s="7">
        <v>9.140000000000001</v>
      </c>
      <c r="K779" s="7">
        <v>0</v>
      </c>
      <c r="L779" s="7">
        <v>25605.56</v>
      </c>
      <c r="M779" t="s">
        <v>1704</v>
      </c>
      <c r="N779" t="s">
        <v>55</v>
      </c>
      <c r="O779">
        <v>42</v>
      </c>
      <c r="P779" s="5" t="s">
        <v>1850</v>
      </c>
    </row>
    <row r="780" spans="1:16">
      <c r="A780" s="4">
        <v>46273</v>
      </c>
      <c r="B780" t="s">
        <v>1851</v>
      </c>
      <c r="C780" s="5" t="s">
        <v>1843</v>
      </c>
      <c r="D780" t="s">
        <v>1852</v>
      </c>
      <c r="E780" t="s">
        <v>17</v>
      </c>
      <c r="F780" t="s">
        <v>29</v>
      </c>
      <c r="G780" s="8" t="s">
        <v>36</v>
      </c>
      <c r="H780" s="5"/>
      <c r="I780" s="7">
        <v>-8.130000000000001</v>
      </c>
      <c r="J780" s="7">
        <v>8.130000000000001</v>
      </c>
      <c r="K780" s="7">
        <v>0</v>
      </c>
      <c r="L780" s="7">
        <v>25597.43</v>
      </c>
      <c r="M780" t="s">
        <v>1704</v>
      </c>
      <c r="N780" t="s">
        <v>55</v>
      </c>
      <c r="O780">
        <v>42</v>
      </c>
      <c r="P780" s="5" t="s">
        <v>1853</v>
      </c>
    </row>
    <row r="781" spans="1:16">
      <c r="A781" s="4">
        <v>46273</v>
      </c>
      <c r="B781" t="s">
        <v>1854</v>
      </c>
      <c r="C781" s="5" t="s">
        <v>1843</v>
      </c>
      <c r="D781" t="s">
        <v>1855</v>
      </c>
      <c r="E781" t="s">
        <v>3</v>
      </c>
      <c r="F781" t="s">
        <v>26</v>
      </c>
      <c r="G781" t="s">
        <v>35</v>
      </c>
      <c r="H781" s="5" t="s">
        <v>241</v>
      </c>
      <c r="I781" s="7">
        <v>-25</v>
      </c>
      <c r="J781" s="7">
        <v>25</v>
      </c>
      <c r="K781" s="7">
        <v>0</v>
      </c>
      <c r="L781" s="7">
        <v>25572.43</v>
      </c>
      <c r="M781" t="s">
        <v>1704</v>
      </c>
      <c r="N781" t="s">
        <v>55</v>
      </c>
      <c r="O781">
        <v>42</v>
      </c>
      <c r="P781" s="5" t="s">
        <v>1856</v>
      </c>
    </row>
    <row r="782" spans="1:16">
      <c r="A782" s="4">
        <v>46273</v>
      </c>
      <c r="B782" t="s">
        <v>1854</v>
      </c>
      <c r="C782" s="5" t="s">
        <v>1843</v>
      </c>
      <c r="D782" t="s">
        <v>1855</v>
      </c>
      <c r="E782" t="s">
        <v>3</v>
      </c>
      <c r="F782" t="s">
        <v>26</v>
      </c>
      <c r="G782" t="s">
        <v>35</v>
      </c>
      <c r="H782" s="5" t="s">
        <v>241</v>
      </c>
      <c r="I782" s="7">
        <v>-45</v>
      </c>
      <c r="J782" s="7">
        <v>45</v>
      </c>
      <c r="K782" s="7">
        <v>0</v>
      </c>
      <c r="L782" s="7">
        <v>25527.43</v>
      </c>
      <c r="M782" t="s">
        <v>1704</v>
      </c>
      <c r="N782" t="s">
        <v>55</v>
      </c>
      <c r="O782">
        <v>42</v>
      </c>
      <c r="P782" s="5" t="s">
        <v>1857</v>
      </c>
    </row>
    <row r="783" spans="1:16">
      <c r="A783" s="4">
        <v>46273</v>
      </c>
      <c r="B783" t="s">
        <v>1858</v>
      </c>
      <c r="C783" s="5" t="s">
        <v>1843</v>
      </c>
      <c r="D783" t="s">
        <v>1859</v>
      </c>
      <c r="E783" t="s">
        <v>17</v>
      </c>
      <c r="F783" t="s">
        <v>29</v>
      </c>
      <c r="G783" s="8" t="s">
        <v>36</v>
      </c>
      <c r="H783" s="5"/>
      <c r="I783" s="7">
        <v>-10.2</v>
      </c>
      <c r="J783" s="7">
        <v>10.2</v>
      </c>
      <c r="K783" s="7">
        <v>0</v>
      </c>
      <c r="L783" s="7">
        <v>25517.23</v>
      </c>
      <c r="M783" t="s">
        <v>1704</v>
      </c>
      <c r="N783" t="s">
        <v>55</v>
      </c>
      <c r="O783">
        <v>42</v>
      </c>
      <c r="P783" s="5" t="s">
        <v>1860</v>
      </c>
    </row>
    <row r="784" spans="1:16">
      <c r="A784" s="4">
        <v>46273</v>
      </c>
      <c r="B784" t="s">
        <v>1861</v>
      </c>
      <c r="C784" s="5" t="s">
        <v>1843</v>
      </c>
      <c r="D784" t="s">
        <v>1862</v>
      </c>
      <c r="E784" t="s">
        <v>17</v>
      </c>
      <c r="F784" t="s">
        <v>29</v>
      </c>
      <c r="G784" s="8" t="s">
        <v>36</v>
      </c>
      <c r="H784" s="5"/>
      <c r="I784" s="7">
        <v>-13.9</v>
      </c>
      <c r="J784" s="7">
        <v>13.9</v>
      </c>
      <c r="K784" s="7">
        <v>0</v>
      </c>
      <c r="L784" s="7">
        <v>25503.33</v>
      </c>
      <c r="M784" t="s">
        <v>1704</v>
      </c>
      <c r="N784" t="s">
        <v>55</v>
      </c>
      <c r="O784">
        <v>42</v>
      </c>
      <c r="P784" s="5" t="s">
        <v>1863</v>
      </c>
    </row>
    <row r="785" spans="1:16">
      <c r="A785" s="4">
        <v>46273</v>
      </c>
      <c r="B785" t="s">
        <v>966</v>
      </c>
      <c r="C785" s="5" t="s">
        <v>1864</v>
      </c>
      <c r="D785" t="s">
        <v>100</v>
      </c>
      <c r="E785" t="s">
        <v>5</v>
      </c>
      <c r="F785" t="s">
        <v>25</v>
      </c>
      <c r="G785" t="s">
        <v>33</v>
      </c>
      <c r="H785" s="5" t="s">
        <v>968</v>
      </c>
      <c r="I785" s="7">
        <v>-5.77</v>
      </c>
      <c r="J785" s="7">
        <v>5.77</v>
      </c>
      <c r="K785" s="7">
        <v>0</v>
      </c>
      <c r="L785" s="7">
        <v>25497.56</v>
      </c>
      <c r="M785" t="s">
        <v>1704</v>
      </c>
      <c r="N785" t="s">
        <v>55</v>
      </c>
      <c r="O785">
        <v>42</v>
      </c>
      <c r="P785" s="5" t="s">
        <v>1865</v>
      </c>
    </row>
    <row r="786" spans="1:16">
      <c r="A786" s="4">
        <v>46273</v>
      </c>
      <c r="B786" t="s">
        <v>389</v>
      </c>
      <c r="C786" s="5" t="s">
        <v>1864</v>
      </c>
      <c r="D786" t="s">
        <v>390</v>
      </c>
      <c r="E786" t="s">
        <v>17</v>
      </c>
      <c r="F786" t="s">
        <v>29</v>
      </c>
      <c r="G786" s="8" t="s">
        <v>36</v>
      </c>
      <c r="H786" s="5"/>
      <c r="I786" s="7">
        <v>-10.11</v>
      </c>
      <c r="J786" s="7">
        <v>10.11</v>
      </c>
      <c r="K786" s="7">
        <v>0</v>
      </c>
      <c r="L786" s="7">
        <v>25487.45</v>
      </c>
      <c r="M786" t="s">
        <v>1704</v>
      </c>
      <c r="N786" t="s">
        <v>55</v>
      </c>
      <c r="O786">
        <v>42</v>
      </c>
      <c r="P786" s="5" t="s">
        <v>1866</v>
      </c>
    </row>
    <row r="787" spans="1:16">
      <c r="A787" s="4">
        <v>46273</v>
      </c>
      <c r="B787" t="s">
        <v>1332</v>
      </c>
      <c r="C787" s="5" t="s">
        <v>1864</v>
      </c>
      <c r="D787" t="s">
        <v>396</v>
      </c>
      <c r="E787" t="s">
        <v>3</v>
      </c>
      <c r="F787" t="s">
        <v>26</v>
      </c>
      <c r="G787" t="s">
        <v>35</v>
      </c>
      <c r="H787" s="5" t="s">
        <v>397</v>
      </c>
      <c r="I787" s="7">
        <v>-12.62</v>
      </c>
      <c r="J787" s="7">
        <v>12.62</v>
      </c>
      <c r="K787" s="7">
        <v>0</v>
      </c>
      <c r="L787" s="7">
        <v>25474.83</v>
      </c>
      <c r="M787" t="s">
        <v>1704</v>
      </c>
      <c r="N787" t="s">
        <v>55</v>
      </c>
      <c r="O787">
        <v>42</v>
      </c>
      <c r="P787" s="5" t="s">
        <v>1867</v>
      </c>
    </row>
    <row r="788" spans="1:16">
      <c r="A788" s="4">
        <v>46273</v>
      </c>
      <c r="B788" t="s">
        <v>1868</v>
      </c>
      <c r="C788" s="5" t="s">
        <v>1869</v>
      </c>
      <c r="D788" t="s">
        <v>52</v>
      </c>
      <c r="E788" t="s">
        <v>3</v>
      </c>
      <c r="F788" t="s">
        <v>26</v>
      </c>
      <c r="G788" s="6" t="s">
        <v>34</v>
      </c>
      <c r="H788" s="5" t="s">
        <v>53</v>
      </c>
      <c r="I788" s="7">
        <v>-12.69</v>
      </c>
      <c r="J788" s="7">
        <v>12.69</v>
      </c>
      <c r="K788" s="7">
        <v>0</v>
      </c>
      <c r="L788" s="7">
        <v>25462.14</v>
      </c>
      <c r="M788" t="s">
        <v>1704</v>
      </c>
      <c r="N788" t="s">
        <v>55</v>
      </c>
      <c r="O788">
        <v>42</v>
      </c>
      <c r="P788" s="5" t="s">
        <v>1870</v>
      </c>
    </row>
  </sheetData>
  <dataValidations count="2">
    <dataValidation type="list" allowBlank="1" showInputMessage="1" showErrorMessage="1" sqref="E2:E788">
      <formula1>Lists!$A$2:$A$24</formula1>
    </dataValidation>
    <dataValidation type="list" allowBlank="1" showInputMessage="1" showErrorMessage="1" sqref="F2:F788">
      <formula1>Lists!$B$2:$B$8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12" width="20.7109375" customWidth="1"/>
  </cols>
  <sheetData>
    <row r="1" spans="1:12">
      <c r="A1" s="9" t="s">
        <v>47</v>
      </c>
      <c r="B1" s="9" t="s">
        <v>1871</v>
      </c>
      <c r="C1" s="9" t="s">
        <v>1872</v>
      </c>
      <c r="D1" s="9" t="s">
        <v>19</v>
      </c>
      <c r="E1" s="9" t="s">
        <v>1873</v>
      </c>
      <c r="F1" s="9" t="s">
        <v>1874</v>
      </c>
      <c r="G1" s="9" t="s">
        <v>1875</v>
      </c>
      <c r="H1" s="9" t="s">
        <v>1876</v>
      </c>
      <c r="I1" s="9" t="s">
        <v>1877</v>
      </c>
      <c r="J1" s="9" t="s">
        <v>1878</v>
      </c>
      <c r="K1" s="9" t="s">
        <v>18</v>
      </c>
      <c r="L1" s="9" t="s">
        <v>1879</v>
      </c>
    </row>
    <row r="2" spans="1:12">
      <c r="A2" t="s">
        <v>54</v>
      </c>
      <c r="B2" s="7">
        <f>SUMIFS(Transactions!$K$2:$K$788,Transactions!$M$2:$M$788,$A2,Transactions!$E$2:$E$788,"Income - Recurring Direct Credit")</f>
        <v>11573.710000000001</v>
      </c>
      <c r="C2" s="7">
        <f>SUMIFS(Transactions!$K$2:$K$788,Transactions!$M$2:$M$788,$A2,Transactions!$E$2:$E$788,"Income - Refund/Reimbursement")+SUMIFS(Transactions!$K$2:$K$788,Transactions!$M$2:$M$788,$A2,Transactions!$E$2:$E$788,"Income - Other Credit")</f>
        <v>0</v>
      </c>
      <c r="D2" s="7">
        <f>SUMIFS(Transactions!$K$2:$K$788,Transactions!$M$2:$M$788,$A2,Transactions!$E$2:$E$788,"Transfer In")</f>
        <v>15.0</v>
      </c>
      <c r="E2" s="7">
        <f>SUMIFS(Transactions!$J$2:$J$788,Transactions!$M$2:$M$788,$A2,Transactions!$F$2:$F$788,"Essential")</f>
        <v>5587.98</v>
      </c>
      <c r="F2" s="7">
        <f>SUMIFS(Transactions!$J$2:$J$788,Transactions!$M$2:$M$788,$A2,Transactions!$F$2:$F$788,"Discretionary")</f>
        <v>3082.2</v>
      </c>
      <c r="G2" s="7">
        <f>SUMIFS(Transactions!$J$2:$J$788,Transactions!$M$2:$M$788,$A2,Transactions!$F$2:$F$788,"Irregular")</f>
        <v>1895.93</v>
      </c>
      <c r="H2" s="7">
        <f>SUMIFS(Transactions!$J$2:$J$788,Transactions!$M$2:$M$788,$A2,Transactions!$F$2:$F$788,"Work/Admin")</f>
        <v>150.45</v>
      </c>
      <c r="I2" s="7">
        <f>SUMIFS(Transactions!$J$2:$J$788,Transactions!$M$2:$M$788,$A2,Transactions!$F$2:$F$788,"Unknown")</f>
        <v>570.97</v>
      </c>
      <c r="J2" s="7">
        <f>SUM(E2:I2)</f>
        <v>11287.529999999999</v>
      </c>
      <c r="K2" s="7">
        <f>SUMIFS(Transactions!$J$2:$J$788,Transactions!$M$2:$M$788,$A2,Transactions!$E$2:$E$788,"Transfer Out")</f>
        <v>1324.0</v>
      </c>
      <c r="L2" s="7">
        <f>B2+C2+D2-J2-K2</f>
        <v>-1022.8199999999979</v>
      </c>
    </row>
    <row r="3" spans="1:12">
      <c r="A3" t="s">
        <v>678</v>
      </c>
      <c r="B3" s="7">
        <f>SUMIFS(Transactions!$K$2:$K$788,Transactions!$M$2:$M$788,$A3,Transactions!$E$2:$E$788,"Income - Recurring Direct Credit")</f>
        <v>9455.02</v>
      </c>
      <c r="C3" s="7">
        <f>SUMIFS(Transactions!$K$2:$K$788,Transactions!$M$2:$M$788,$A3,Transactions!$E$2:$E$788,"Income - Refund/Reimbursement")+SUMIFS(Transactions!$K$2:$K$788,Transactions!$M$2:$M$788,$A3,Transactions!$E$2:$E$788,"Income - Other Credit")</f>
        <v>296.01</v>
      </c>
      <c r="D3" s="7">
        <f>SUMIFS(Transactions!$K$2:$K$788,Transactions!$M$2:$M$788,$A3,Transactions!$E$2:$E$788,"Transfer In")</f>
        <v>20001.4</v>
      </c>
      <c r="E3" s="7">
        <f>SUMIFS(Transactions!$J$2:$J$788,Transactions!$M$2:$M$788,$A3,Transactions!$F$2:$F$788,"Essential")</f>
        <v>7483.61</v>
      </c>
      <c r="F3" s="7">
        <f>SUMIFS(Transactions!$J$2:$J$788,Transactions!$M$2:$M$788,$A3,Transactions!$F$2:$F$788,"Discretionary")</f>
        <v>2951.8</v>
      </c>
      <c r="G3" s="7">
        <f>SUMIFS(Transactions!$J$2:$J$788,Transactions!$M$2:$M$788,$A3,Transactions!$F$2:$F$788,"Irregular")</f>
        <v>1054.9</v>
      </c>
      <c r="H3" s="7">
        <f>SUMIFS(Transactions!$J$2:$J$788,Transactions!$M$2:$M$788,$A3,Transactions!$F$2:$F$788,"Work/Admin")</f>
        <v>424.88</v>
      </c>
      <c r="I3" s="7">
        <f>SUMIFS(Transactions!$J$2:$J$788,Transactions!$M$2:$M$788,$A3,Transactions!$F$2:$F$788,"Unknown")</f>
        <v>1117.74</v>
      </c>
      <c r="J3" s="7">
        <f>SUM(E3:I3)</f>
        <v>13032.93</v>
      </c>
      <c r="K3" s="7">
        <f>SUMIFS(Transactions!$J$2:$J$788,Transactions!$M$2:$M$788,$A3,Transactions!$E$2:$E$788,"Transfer Out")</f>
        <v>5988.89</v>
      </c>
      <c r="L3" s="7">
        <f>B3+C3+D3-J3-K3</f>
        <v>10730.61</v>
      </c>
    </row>
    <row r="4" spans="1:12">
      <c r="A4" t="s">
        <v>1213</v>
      </c>
      <c r="B4" s="7">
        <f>SUMIFS(Transactions!$K$2:$K$788,Transactions!$M$2:$M$788,$A4,Transactions!$E$2:$E$788,"Income - Recurring Direct Credit")</f>
        <v>10281.640000000001</v>
      </c>
      <c r="C4" s="7">
        <f>SUMIFS(Transactions!$K$2:$K$788,Transactions!$M$2:$M$788,$A4,Transactions!$E$2:$E$788,"Income - Refund/Reimbursement")+SUMIFS(Transactions!$K$2:$K$788,Transactions!$M$2:$M$788,$A4,Transactions!$E$2:$E$788,"Income - Other Credit")</f>
        <v>729.8</v>
      </c>
      <c r="D4" s="7">
        <f>SUMIFS(Transactions!$K$2:$K$788,Transactions!$M$2:$M$788,$A4,Transactions!$E$2:$E$788,"Transfer In")</f>
        <v>0</v>
      </c>
      <c r="E4" s="7">
        <f>SUMIFS(Transactions!$J$2:$J$788,Transactions!$M$2:$M$788,$A4,Transactions!$F$2:$F$788,"Essential")</f>
        <v>6319.2</v>
      </c>
      <c r="F4" s="7">
        <f>SUMIFS(Transactions!$J$2:$J$788,Transactions!$M$2:$M$788,$A4,Transactions!$F$2:$F$788,"Discretionary")</f>
        <v>2795.99</v>
      </c>
      <c r="G4" s="7">
        <f>SUMIFS(Transactions!$J$2:$J$788,Transactions!$M$2:$M$788,$A4,Transactions!$F$2:$F$788,"Irregular")</f>
        <v>526.0</v>
      </c>
      <c r="H4" s="7">
        <f>SUMIFS(Transactions!$J$2:$J$788,Transactions!$M$2:$M$788,$A4,Transactions!$F$2:$F$788,"Work/Admin")</f>
        <v>869.32</v>
      </c>
      <c r="I4" s="7">
        <f>SUMIFS(Transactions!$J$2:$J$788,Transactions!$M$2:$M$788,$A4,Transactions!$F$2:$F$788,"Unknown")</f>
        <v>1411.1</v>
      </c>
      <c r="J4" s="7">
        <f>SUM(E4:I4)</f>
        <v>11921.609999999999</v>
      </c>
      <c r="K4" s="7">
        <f>SUMIFS(Transactions!$J$2:$J$788,Transactions!$M$2:$M$788,$A4,Transactions!$E$2:$E$788,"Transfer Out")</f>
        <v>6.0</v>
      </c>
      <c r="L4" s="7">
        <f>B4+C4+D4-J4-K4</f>
        <v>-916.1699999999983</v>
      </c>
    </row>
    <row r="5" spans="1:12">
      <c r="A5" t="s">
        <v>1704</v>
      </c>
      <c r="B5" s="7">
        <f>SUMIFS(Transactions!$K$2:$K$788,Transactions!$M$2:$M$788,$A5,Transactions!$E$2:$E$788,"Income - Recurring Direct Credit")</f>
        <v>0</v>
      </c>
      <c r="C5" s="7">
        <f>SUMIFS(Transactions!$K$2:$K$788,Transactions!$M$2:$M$788,$A5,Transactions!$E$2:$E$788,"Income - Refund/Reimbursement")+SUMIFS(Transactions!$K$2:$K$788,Transactions!$M$2:$M$788,$A5,Transactions!$E$2:$E$788,"Income - Other Credit")</f>
        <v>67.6</v>
      </c>
      <c r="D5" s="7">
        <f>SUMIFS(Transactions!$K$2:$K$788,Transactions!$M$2:$M$788,$A5,Transactions!$E$2:$E$788,"Transfer In")</f>
        <v>0</v>
      </c>
      <c r="E5" s="7">
        <f>SUMIFS(Transactions!$J$2:$J$788,Transactions!$M$2:$M$788,$A5,Transactions!$F$2:$F$788,"Essential")</f>
        <v>1400.04</v>
      </c>
      <c r="F5" s="7">
        <f>SUMIFS(Transactions!$J$2:$J$788,Transactions!$M$2:$M$788,$A5,Transactions!$F$2:$F$788,"Discretionary")</f>
        <v>698.81</v>
      </c>
      <c r="G5" s="7">
        <f>SUMIFS(Transactions!$J$2:$J$788,Transactions!$M$2:$M$788,$A5,Transactions!$F$2:$F$788,"Irregular")</f>
        <v>762.0</v>
      </c>
      <c r="H5" s="7">
        <f>SUMIFS(Transactions!$J$2:$J$788,Transactions!$M$2:$M$788,$A5,Transactions!$F$2:$F$788,"Work/Admin")</f>
        <v>490.0</v>
      </c>
      <c r="I5" s="7">
        <f>SUMIFS(Transactions!$J$2:$J$788,Transactions!$M$2:$M$788,$A5,Transactions!$F$2:$F$788,"Unknown")</f>
        <v>517.9399999999999</v>
      </c>
      <c r="J5" s="7">
        <f>SUM(E5:I5)</f>
        <v>3868.79</v>
      </c>
      <c r="K5" s="7">
        <f>SUMIFS(Transactions!$J$2:$J$788,Transactions!$M$2:$M$788,$A5,Transactions!$E$2:$E$788,"Transfer Out")</f>
        <v>7.0</v>
      </c>
      <c r="L5" s="7">
        <f>B5+C5+D5-J5-K5</f>
        <v>-3808.19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7" width="15.7109375" customWidth="1"/>
    <col min="8" max="8" width="50.7109375" customWidth="1"/>
  </cols>
  <sheetData>
    <row r="1" spans="1:9">
      <c r="A1" s="1" t="s">
        <v>1880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1881</v>
      </c>
      <c r="B2" s="3">
        <f>MEDIAN('Monthly Summary'!B2,'Monthly Summary'!B3,'Monthly Summary'!B4)</f>
        <v>10281.640000000001</v>
      </c>
    </row>
    <row r="4" spans="1:9">
      <c r="A4" s="9" t="s">
        <v>0</v>
      </c>
      <c r="B4" s="9" t="s">
        <v>54</v>
      </c>
      <c r="C4" s="9" t="s">
        <v>678</v>
      </c>
      <c r="D4" s="9" t="s">
        <v>1213</v>
      </c>
      <c r="E4" s="9" t="s">
        <v>1882</v>
      </c>
      <c r="F4" s="9" t="s">
        <v>1883</v>
      </c>
      <c r="G4" s="9" t="s">
        <v>1884</v>
      </c>
      <c r="H4" s="9" t="s">
        <v>1885</v>
      </c>
    </row>
    <row r="5" spans="1:9">
      <c r="A5" t="s">
        <v>1</v>
      </c>
      <c r="B5" s="7">
        <f>SUMIFS(Transactions!$J$2:$J$788,Transactions!$M$2:$M$788,"2026-06",Transactions!$E$2:$E$788,$A5)</f>
        <v>3440.0</v>
      </c>
      <c r="C5" s="7">
        <f>SUMIFS(Transactions!$J$2:$J$788,Transactions!$M$2:$M$788,"2026-07",Transactions!$E$2:$E$788,$A5)</f>
        <v>5160.0</v>
      </c>
      <c r="D5" s="7">
        <f>SUMIFS(Transactions!$J$2:$J$788,Transactions!$M$2:$M$788,"2026-08",Transactions!$E$2:$E$788,$A5)</f>
        <v>3440.0</v>
      </c>
      <c r="E5" s="7">
        <f>AVERAGE(B5:D5)</f>
        <v>4013.3333333333335</v>
      </c>
      <c r="F5" s="7">
        <v>3683</v>
      </c>
      <c r="G5" s="7">
        <f>F5-E5</f>
        <v>-330.3333333333335</v>
      </c>
      <c r="H5" s="5" t="s">
        <v>1886</v>
      </c>
    </row>
    <row r="6" spans="1:9">
      <c r="A6" t="s">
        <v>2</v>
      </c>
      <c r="B6" s="7">
        <f>SUMIFS(Transactions!$J$2:$J$788,Transactions!$M$2:$M$788,"2026-06",Transactions!$E$2:$E$788,$A6)</f>
        <v>842.75</v>
      </c>
      <c r="C6" s="7">
        <f>SUMIFS(Transactions!$J$2:$J$788,Transactions!$M$2:$M$788,"2026-07",Transactions!$E$2:$E$788,$A6)</f>
        <v>638.68</v>
      </c>
      <c r="D6" s="7">
        <f>SUMIFS(Transactions!$J$2:$J$788,Transactions!$M$2:$M$788,"2026-08",Transactions!$E$2:$E$788,$A6)</f>
        <v>867.84</v>
      </c>
      <c r="E6" s="7">
        <f>AVERAGE(B6:D6)</f>
        <v>783.09</v>
      </c>
      <c r="F6" s="7">
        <v>550</v>
      </c>
      <c r="G6" s="7">
        <f>F6-E6</f>
        <v>-233.09000000000003</v>
      </c>
      <c r="H6" s="5" t="s">
        <v>1887</v>
      </c>
    </row>
    <row r="7" spans="1:9">
      <c r="A7" t="s">
        <v>3</v>
      </c>
      <c r="B7" s="7">
        <f>SUMIFS(Transactions!$J$2:$J$788,Transactions!$M$2:$M$788,"2026-06",Transactions!$E$2:$E$788,$A7)</f>
        <v>1680.52</v>
      </c>
      <c r="C7" s="7">
        <f>SUMIFS(Transactions!$J$2:$J$788,Transactions!$M$2:$M$788,"2026-07",Transactions!$E$2:$E$788,$A7)</f>
        <v>1621.3700000000001</v>
      </c>
      <c r="D7" s="7">
        <f>SUMIFS(Transactions!$J$2:$J$788,Transactions!$M$2:$M$788,"2026-08",Transactions!$E$2:$E$788,$A7)</f>
        <v>1197.92</v>
      </c>
      <c r="E7" s="7">
        <f>AVERAGE(B7:D7)</f>
        <v>1499.9366666666667</v>
      </c>
      <c r="F7" s="7">
        <v>650</v>
      </c>
      <c r="G7" s="7">
        <f>F7-E7</f>
        <v>-849.9366666666667</v>
      </c>
      <c r="H7" s="5" t="s">
        <v>1888</v>
      </c>
    </row>
    <row r="8" spans="1:9">
      <c r="A8" t="s">
        <v>4</v>
      </c>
      <c r="B8" s="7">
        <f>SUMIFS(Transactions!$J$2:$J$788,Transactions!$M$2:$M$788,"2026-06",Transactions!$E$2:$E$788,$A8)</f>
        <v>607.42</v>
      </c>
      <c r="C8" s="7">
        <f>SUMIFS(Transactions!$J$2:$J$788,Transactions!$M$2:$M$788,"2026-07",Transactions!$E$2:$E$788,$A8)</f>
        <v>228.94</v>
      </c>
      <c r="D8" s="7">
        <f>SUMIFS(Transactions!$J$2:$J$788,Transactions!$M$2:$M$788,"2026-08",Transactions!$E$2:$E$788,$A8)</f>
        <v>452.47999999999996</v>
      </c>
      <c r="E8" s="7">
        <f>AVERAGE(B8:D8)</f>
        <v>429.6133333333333</v>
      </c>
      <c r="F8" s="7">
        <v>350</v>
      </c>
      <c r="G8" s="7">
        <f>F8-E8</f>
        <v>-79.61333333333329</v>
      </c>
      <c r="H8" s="5" t="s">
        <v>1889</v>
      </c>
    </row>
    <row r="9" spans="1:9">
      <c r="A9" t="s">
        <v>5</v>
      </c>
      <c r="B9" s="7">
        <f>SUMIFS(Transactions!$J$2:$J$788,Transactions!$M$2:$M$788,"2026-06",Transactions!$E$2:$E$788,$A9)</f>
        <v>507.83</v>
      </c>
      <c r="C9" s="7">
        <f>SUMIFS(Transactions!$J$2:$J$788,Transactions!$M$2:$M$788,"2026-07",Transactions!$E$2:$E$788,$A9)</f>
        <v>984.84</v>
      </c>
      <c r="D9" s="7">
        <f>SUMIFS(Transactions!$J$2:$J$788,Transactions!$M$2:$M$788,"2026-08",Transactions!$E$2:$E$788,$A9)</f>
        <v>454.87</v>
      </c>
      <c r="E9" s="7">
        <f>AVERAGE(B9:D9)</f>
        <v>649.18</v>
      </c>
      <c r="F9" s="7">
        <v>450</v>
      </c>
      <c r="G9" s="7">
        <f>F9-E9</f>
        <v>-199.17999999999995</v>
      </c>
      <c r="H9" s="5" t="s">
        <v>1890</v>
      </c>
    </row>
    <row r="10" spans="1:9">
      <c r="A10" t="s">
        <v>6</v>
      </c>
      <c r="B10" s="7">
        <f>SUMIFS(Transactions!$J$2:$J$788,Transactions!$M$2:$M$788,"2026-06",Transactions!$E$2:$E$788,$A10)</f>
        <v>379.6</v>
      </c>
      <c r="C10" s="7">
        <f>SUMIFS(Transactions!$J$2:$J$788,Transactions!$M$2:$M$788,"2026-07",Transactions!$E$2:$E$788,$A10)</f>
        <v>492.5</v>
      </c>
      <c r="D10" s="7">
        <f>SUMIFS(Transactions!$J$2:$J$788,Transactions!$M$2:$M$788,"2026-08",Transactions!$E$2:$E$788,$A10)</f>
        <v>379.6</v>
      </c>
      <c r="E10" s="7">
        <f>AVERAGE(B10:D10)</f>
        <v>417.23333333333335</v>
      </c>
      <c r="F10" s="7">
        <v>354</v>
      </c>
      <c r="G10" s="7">
        <f>F10-E10</f>
        <v>-63.23333333333335</v>
      </c>
      <c r="H10" s="5" t="s">
        <v>1891</v>
      </c>
    </row>
    <row r="11" spans="1:9">
      <c r="A11" t="s">
        <v>7</v>
      </c>
      <c r="B11" s="7">
        <f>SUMIFS(Transactions!$J$2:$J$788,Transactions!$M$2:$M$788,"2026-06",Transactions!$E$2:$E$788,$A11)</f>
        <v>183.24</v>
      </c>
      <c r="C11" s="7">
        <f>SUMIFS(Transactions!$J$2:$J$788,Transactions!$M$2:$M$788,"2026-07",Transactions!$E$2:$E$788,$A11)</f>
        <v>468.07</v>
      </c>
      <c r="D11" s="7">
        <f>SUMIFS(Transactions!$J$2:$J$788,Transactions!$M$2:$M$788,"2026-08",Transactions!$E$2:$E$788,$A11)</f>
        <v>1126.65</v>
      </c>
      <c r="E11" s="7">
        <f>AVERAGE(B11:D11)</f>
        <v>592.6533333333333</v>
      </c>
      <c r="F11" s="7">
        <v>400</v>
      </c>
      <c r="G11" s="7">
        <f>F11-E11</f>
        <v>-192.6533333333333</v>
      </c>
      <c r="H11" s="5" t="s">
        <v>1892</v>
      </c>
    </row>
    <row r="12" spans="1:9">
      <c r="A12" t="s">
        <v>8</v>
      </c>
      <c r="B12" s="7">
        <f>SUMIFS(Transactions!$J$2:$J$788,Transactions!$M$2:$M$788,"2026-06",Transactions!$E$2:$E$788,$A12)</f>
        <v>830.53</v>
      </c>
      <c r="C12" s="7">
        <f>SUMIFS(Transactions!$J$2:$J$788,Transactions!$M$2:$M$788,"2026-07",Transactions!$E$2:$E$788,$A12)</f>
        <v>672.41</v>
      </c>
      <c r="D12" s="7">
        <f>SUMIFS(Transactions!$J$2:$J$788,Transactions!$M$2:$M$788,"2026-08",Transactions!$E$2:$E$788,$A12)</f>
        <v>1088.37</v>
      </c>
      <c r="E12" s="7">
        <f>AVERAGE(B12:D12)</f>
        <v>863.77</v>
      </c>
      <c r="F12" s="7">
        <v>600</v>
      </c>
      <c r="G12" s="7">
        <f>F12-E12</f>
        <v>-263.77</v>
      </c>
      <c r="H12" s="5" t="s">
        <v>1893</v>
      </c>
    </row>
    <row r="13" spans="1:9">
      <c r="A13" t="s">
        <v>9</v>
      </c>
      <c r="B13" s="7">
        <f>SUMIFS(Transactions!$J$2:$J$788,Transactions!$M$2:$M$788,"2026-06",Transactions!$E$2:$E$788,$A13)</f>
        <v>68.57</v>
      </c>
      <c r="C13" s="7">
        <f>SUMIFS(Transactions!$J$2:$J$788,Transactions!$M$2:$M$788,"2026-07",Transactions!$E$2:$E$788,$A13)</f>
        <v>663.51</v>
      </c>
      <c r="D13" s="7">
        <f>SUMIFS(Transactions!$J$2:$J$788,Transactions!$M$2:$M$788,"2026-08",Transactions!$E$2:$E$788,$A13)</f>
        <v>120.11</v>
      </c>
      <c r="E13" s="7">
        <f>AVERAGE(B13:D13)</f>
        <v>284.06333333333333</v>
      </c>
      <c r="F13" s="7">
        <v>150</v>
      </c>
      <c r="G13" s="7">
        <f>F13-E13</f>
        <v>-134.06333333333333</v>
      </c>
      <c r="H13" s="5" t="s">
        <v>1894</v>
      </c>
    </row>
    <row r="14" spans="1:9">
      <c r="A14" t="s">
        <v>10</v>
      </c>
      <c r="B14" s="7">
        <f>SUMIFS(Transactions!$J$2:$J$788,Transactions!$M$2:$M$788,"2026-06",Transactions!$E$2:$E$788,$A14)</f>
        <v>0</v>
      </c>
      <c r="C14" s="7">
        <f>SUMIFS(Transactions!$J$2:$J$788,Transactions!$M$2:$M$788,"2026-07",Transactions!$E$2:$E$788,$A14)</f>
        <v>0</v>
      </c>
      <c r="D14" s="7">
        <f>SUMIFS(Transactions!$J$2:$J$788,Transactions!$M$2:$M$788,"2026-08",Transactions!$E$2:$E$788,$A14)</f>
        <v>66.23</v>
      </c>
      <c r="E14" s="7">
        <f>AVERAGE(B14:D14)</f>
        <v>22.076666666666668</v>
      </c>
      <c r="F14" s="7">
        <v>250</v>
      </c>
      <c r="G14" s="7">
        <f>F14-E14</f>
        <v>227.92333333333335</v>
      </c>
      <c r="H14" s="5" t="s">
        <v>1895</v>
      </c>
    </row>
    <row r="15" spans="1:9">
      <c r="A15" t="s">
        <v>11</v>
      </c>
      <c r="B15" s="7">
        <f>SUMIFS(Transactions!$J$2:$J$788,Transactions!$M$2:$M$788,"2026-06",Transactions!$E$2:$E$788,$A15)</f>
        <v>34.85</v>
      </c>
      <c r="C15" s="7">
        <f>SUMIFS(Transactions!$J$2:$J$788,Transactions!$M$2:$M$788,"2026-07",Transactions!$E$2:$E$788,$A15)</f>
        <v>0</v>
      </c>
      <c r="D15" s="7">
        <f>SUMIFS(Transactions!$J$2:$J$788,Transactions!$M$2:$M$788,"2026-08",Transactions!$E$2:$E$788,$A15)</f>
        <v>8.0</v>
      </c>
      <c r="E15" s="7">
        <f>AVERAGE(B15:D15)</f>
        <v>14.283333333333333</v>
      </c>
      <c r="F15" s="7">
        <v>100</v>
      </c>
      <c r="G15" s="7">
        <f>F15-E15</f>
        <v>85.71666666666667</v>
      </c>
      <c r="H15" s="5" t="s">
        <v>1896</v>
      </c>
    </row>
    <row r="16" spans="1:9">
      <c r="A16" t="s">
        <v>12</v>
      </c>
      <c r="B16" s="7">
        <f>SUMIFS(Transactions!$J$2:$J$788,Transactions!$M$2:$M$788,"2026-06",Transactions!$E$2:$E$788,$A16)</f>
        <v>122.98</v>
      </c>
      <c r="C16" s="7">
        <f>SUMIFS(Transactions!$J$2:$J$788,Transactions!$M$2:$M$788,"2026-07",Transactions!$E$2:$E$788,$A16)</f>
        <v>9.99</v>
      </c>
      <c r="D16" s="7">
        <f>SUMIFS(Transactions!$J$2:$J$788,Transactions!$M$2:$M$788,"2026-08",Transactions!$E$2:$E$788,$A16)</f>
        <v>9.99</v>
      </c>
      <c r="E16" s="7">
        <f>AVERAGE(B16:D16)</f>
        <v>47.653333333333336</v>
      </c>
      <c r="F16" s="7">
        <v>15</v>
      </c>
      <c r="G16" s="7">
        <f>F16-E16</f>
        <v>-32.653333333333336</v>
      </c>
      <c r="H16" s="5" t="s">
        <v>1897</v>
      </c>
    </row>
    <row r="17" spans="1:8">
      <c r="A17" t="s">
        <v>13</v>
      </c>
      <c r="B17" s="7">
        <f>SUMIFS(Transactions!$J$2:$J$788,Transactions!$M$2:$M$788,"2026-06",Transactions!$E$2:$E$788,$A17)</f>
        <v>6.74</v>
      </c>
      <c r="C17" s="7">
        <f>SUMIFS(Transactions!$J$2:$J$788,Transactions!$M$2:$M$788,"2026-07",Transactions!$E$2:$E$788,$A17)</f>
        <v>3.08</v>
      </c>
      <c r="D17" s="7">
        <f>SUMIFS(Transactions!$J$2:$J$788,Transactions!$M$2:$M$788,"2026-08",Transactions!$E$2:$E$788,$A17)</f>
        <v>11.13</v>
      </c>
      <c r="E17" s="7">
        <f>AVERAGE(B17:D17)</f>
        <v>6.983333333333334</v>
      </c>
      <c r="F17" s="7">
        <v>20</v>
      </c>
      <c r="G17" s="7">
        <f>F17-E17</f>
        <v>13.016666666666666</v>
      </c>
      <c r="H17" s="5" t="s">
        <v>1898</v>
      </c>
    </row>
    <row r="18" spans="1:8">
      <c r="A18" t="s">
        <v>14</v>
      </c>
      <c r="B18" s="7">
        <f>SUMIFS(Transactions!$J$2:$J$788,Transactions!$M$2:$M$788,"2026-06",Transactions!$E$2:$E$788,$A18)</f>
        <v>0.9</v>
      </c>
      <c r="C18" s="7">
        <f>SUMIFS(Transactions!$J$2:$J$788,Transactions!$M$2:$M$788,"2026-07",Transactions!$E$2:$E$788,$A18)</f>
        <v>179.2</v>
      </c>
      <c r="D18" s="7">
        <f>SUMIFS(Transactions!$J$2:$J$788,Transactions!$M$2:$M$788,"2026-08",Transactions!$E$2:$E$788,$A18)</f>
        <v>0</v>
      </c>
      <c r="E18" s="7">
        <f>AVERAGE(B18:D18)</f>
        <v>60.03333333333333</v>
      </c>
      <c r="F18" s="7">
        <v>50</v>
      </c>
      <c r="G18" s="7">
        <f>F18-E18</f>
        <v>-10.033333333333331</v>
      </c>
      <c r="H18" s="5" t="s">
        <v>1899</v>
      </c>
    </row>
    <row r="19" spans="1:8">
      <c r="A19" t="s">
        <v>15</v>
      </c>
      <c r="B19" s="7">
        <f>SUMIFS(Transactions!$J$2:$J$788,Transactions!$M$2:$M$788,"2026-06",Transactions!$E$2:$E$788,$A19)</f>
        <v>1860.18</v>
      </c>
      <c r="C19" s="7">
        <f>SUMIFS(Transactions!$J$2:$J$788,Transactions!$M$2:$M$788,"2026-07",Transactions!$E$2:$E$788,$A19)</f>
        <v>367.72</v>
      </c>
      <c r="D19" s="7">
        <f>SUMIFS(Transactions!$J$2:$J$788,Transactions!$M$2:$M$788,"2026-08",Transactions!$E$2:$E$788,$A19)</f>
        <v>418.0</v>
      </c>
      <c r="E19" s="7">
        <f>AVERAGE(B19:D19)</f>
        <v>881.9666666666667</v>
      </c>
      <c r="F19" s="7">
        <v>400</v>
      </c>
      <c r="G19" s="7">
        <f>F19-E19</f>
        <v>-481.9666666666667</v>
      </c>
      <c r="H19" s="5" t="s">
        <v>1900</v>
      </c>
    </row>
    <row r="20" spans="1:8">
      <c r="A20" t="s">
        <v>16</v>
      </c>
      <c r="B20" s="7">
        <f>SUMIFS(Transactions!$J$2:$J$788,Transactions!$M$2:$M$788,"2026-06",Transactions!$E$2:$E$788,$A20)</f>
        <v>0</v>
      </c>
      <c r="C20" s="7">
        <f>SUMIFS(Transactions!$J$2:$J$788,Transactions!$M$2:$M$788,"2026-07",Transactions!$E$2:$E$788,$A20)</f>
        <v>0</v>
      </c>
      <c r="D20" s="7">
        <f>SUMIFS(Transactions!$J$2:$J$788,Transactions!$M$2:$M$788,"2026-08",Transactions!$E$2:$E$788,$A20)</f>
        <v>0</v>
      </c>
      <c r="E20" s="7">
        <f>AVERAGE(B20:D20)</f>
        <v>0.0</v>
      </c>
      <c r="F20" s="7">
        <v>0</v>
      </c>
      <c r="G20" s="7">
        <f>F20-E20</f>
        <v>0.0</v>
      </c>
      <c r="H20" s="5" t="s">
        <v>1901</v>
      </c>
    </row>
    <row r="21" spans="1:8">
      <c r="A21" t="s">
        <v>17</v>
      </c>
      <c r="B21" s="7">
        <f>SUMIFS(Transactions!$J$2:$J$788,Transactions!$M$2:$M$788,"2026-06",Transactions!$E$2:$E$788,$A21)</f>
        <v>570.97</v>
      </c>
      <c r="C21" s="7">
        <f>SUMIFS(Transactions!$J$2:$J$788,Transactions!$M$2:$M$788,"2026-07",Transactions!$E$2:$E$788,$A21)</f>
        <v>1117.74</v>
      </c>
      <c r="D21" s="7">
        <f>SUMIFS(Transactions!$J$2:$J$788,Transactions!$M$2:$M$788,"2026-08",Transactions!$E$2:$E$788,$A21)</f>
        <v>1411.1</v>
      </c>
      <c r="E21" s="7">
        <f>AVERAGE(B21:D21)</f>
        <v>1033.27</v>
      </c>
      <c r="F21" s="7">
        <v>250</v>
      </c>
      <c r="G21" s="7">
        <f>F21-E21</f>
        <v>-783.27</v>
      </c>
      <c r="H21" s="5" t="s">
        <v>1902</v>
      </c>
    </row>
    <row r="22" spans="1:8">
      <c r="A22" s="10" t="s">
        <v>1903</v>
      </c>
      <c r="B22" s="10">
        <f>SUM(B5:B21)</f>
        <v>11137.08</v>
      </c>
      <c r="C22" s="10">
        <f>SUM(C5:C21)</f>
        <v>12608.05</v>
      </c>
      <c r="D22" s="10">
        <f>SUM(D5:D21)</f>
        <v>11052.29</v>
      </c>
      <c r="E22" s="10">
        <f>SUM(E5:E21)</f>
        <v>11599.14</v>
      </c>
      <c r="F22" s="10">
        <f>SUM(F5:F21)</f>
        <v>8272.0</v>
      </c>
      <c r="G22" s="10">
        <f>SUM(G5:G21)</f>
        <v>-3327.1399999999994</v>
      </c>
    </row>
    <row r="25" spans="1:8">
      <c r="A25" s="11" t="s">
        <v>1904</v>
      </c>
    </row>
    <row r="26" spans="1:8">
      <c r="A26" t="s">
        <v>1905</v>
      </c>
      <c r="B26" s="7">
        <f>$B$2</f>
        <v>10281.640000000001</v>
      </c>
    </row>
    <row r="27" spans="1:8">
      <c r="A27" t="s">
        <v>1906</v>
      </c>
      <c r="B27" s="7">
        <f>F22</f>
        <v>8272.0</v>
      </c>
    </row>
    <row r="28" spans="1:8">
      <c r="A28" t="s">
        <v>1907</v>
      </c>
      <c r="B28" s="7">
        <f>B26-B27</f>
        <v>2009.6400000000012</v>
      </c>
    </row>
    <row r="29" spans="1:8">
      <c r="A29" t="s">
        <v>1908</v>
      </c>
      <c r="B29" s="12">
        <f>IFERROR(B28/B26,0)</f>
        <v>0.19545909018405633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5" width="15.7109375" customWidth="1"/>
    <col min="6" max="7" width="12.7109375" customWidth="1"/>
    <col min="8" max="11" width="24.7109375" customWidth="1"/>
    <col min="12" max="12" width="55.7109375" customWidth="1"/>
    <col min="13" max="13" width="34.7109375" customWidth="1"/>
  </cols>
  <sheetData>
    <row r="1" spans="1:13">
      <c r="A1" t="s">
        <v>41</v>
      </c>
      <c r="B1" t="s">
        <v>1909</v>
      </c>
      <c r="C1" t="s">
        <v>1910</v>
      </c>
      <c r="D1" t="s">
        <v>1911</v>
      </c>
      <c r="E1" t="s">
        <v>1882</v>
      </c>
      <c r="F1" t="s">
        <v>1912</v>
      </c>
      <c r="G1" t="s">
        <v>1913</v>
      </c>
      <c r="H1" t="s">
        <v>1914</v>
      </c>
      <c r="I1" t="s">
        <v>24</v>
      </c>
      <c r="J1" t="s">
        <v>32</v>
      </c>
      <c r="K1" t="s">
        <v>42</v>
      </c>
      <c r="L1" t="s">
        <v>1915</v>
      </c>
      <c r="M1" t="s">
        <v>1916</v>
      </c>
    </row>
    <row r="2" spans="1:13">
      <c r="A2" t="s">
        <v>1530</v>
      </c>
      <c r="B2">
        <v>1</v>
      </c>
      <c r="C2" s="7">
        <v>826.62</v>
      </c>
      <c r="D2" s="7">
        <v>826.62</v>
      </c>
      <c r="E2" s="7">
        <v>826.62</v>
      </c>
      <c r="F2" s="4">
        <v>46254</v>
      </c>
      <c r="G2" s="4">
        <v>46254</v>
      </c>
      <c r="H2" t="s">
        <v>23</v>
      </c>
      <c r="I2" t="s">
        <v>28</v>
      </c>
      <c r="J2" s="6" t="s">
        <v>34</v>
      </c>
      <c r="K2" s="5" t="s">
        <v>1531</v>
      </c>
      <c r="L2" s="5" t="s">
        <v>1529</v>
      </c>
      <c r="M2" s="6" t="s">
        <v>1917</v>
      </c>
    </row>
    <row r="3" spans="1:13">
      <c r="A3" t="s">
        <v>869</v>
      </c>
      <c r="B3">
        <v>1</v>
      </c>
      <c r="C3" s="7">
        <v>507.98</v>
      </c>
      <c r="D3" s="7">
        <v>507.98</v>
      </c>
      <c r="E3" s="7">
        <v>507.98</v>
      </c>
      <c r="F3" s="4">
        <v>46214</v>
      </c>
      <c r="G3" s="4">
        <v>46214</v>
      </c>
      <c r="H3" t="s">
        <v>9</v>
      </c>
      <c r="I3" t="s">
        <v>27</v>
      </c>
      <c r="J3" s="6" t="s">
        <v>34</v>
      </c>
      <c r="K3" s="5" t="s">
        <v>870</v>
      </c>
      <c r="L3" s="5" t="s">
        <v>868</v>
      </c>
      <c r="M3" s="6" t="s">
        <v>1917</v>
      </c>
    </row>
    <row r="4" spans="1:13">
      <c r="A4" t="s">
        <v>1511</v>
      </c>
      <c r="B4">
        <v>1</v>
      </c>
      <c r="C4" s="7">
        <v>499</v>
      </c>
      <c r="D4" s="7">
        <v>499</v>
      </c>
      <c r="E4" s="7">
        <v>499</v>
      </c>
      <c r="F4" s="4">
        <v>46253</v>
      </c>
      <c r="G4" s="4">
        <v>46253</v>
      </c>
      <c r="H4" t="s">
        <v>17</v>
      </c>
      <c r="I4" t="s">
        <v>29</v>
      </c>
      <c r="J4" s="8" t="s">
        <v>36</v>
      </c>
      <c r="K4" s="5"/>
      <c r="L4" s="5" t="s">
        <v>1510</v>
      </c>
      <c r="M4" s="8" t="s">
        <v>1918</v>
      </c>
    </row>
    <row r="5" spans="1:13">
      <c r="A5" t="s">
        <v>925</v>
      </c>
      <c r="B5">
        <v>1</v>
      </c>
      <c r="C5" s="7">
        <v>391.93</v>
      </c>
      <c r="D5" s="7">
        <v>391.93</v>
      </c>
      <c r="E5" s="7">
        <v>391.93</v>
      </c>
      <c r="F5" s="4">
        <v>46217</v>
      </c>
      <c r="G5" s="4">
        <v>46217</v>
      </c>
      <c r="H5" t="s">
        <v>23</v>
      </c>
      <c r="I5" t="s">
        <v>28</v>
      </c>
      <c r="J5" s="6" t="s">
        <v>34</v>
      </c>
      <c r="K5" s="5" t="s">
        <v>926</v>
      </c>
      <c r="L5" s="5" t="s">
        <v>924</v>
      </c>
      <c r="M5" s="6" t="s">
        <v>1917</v>
      </c>
    </row>
    <row r="6" spans="1:13">
      <c r="A6" t="s">
        <v>1725</v>
      </c>
      <c r="B6">
        <v>1</v>
      </c>
      <c r="C6" s="7">
        <v>195.07</v>
      </c>
      <c r="D6" s="7">
        <v>195.07</v>
      </c>
      <c r="E6" s="7">
        <v>195.07</v>
      </c>
      <c r="F6" s="4">
        <v>46266</v>
      </c>
      <c r="G6" s="4">
        <v>46266</v>
      </c>
      <c r="H6" t="s">
        <v>17</v>
      </c>
      <c r="I6" t="s">
        <v>29</v>
      </c>
      <c r="J6" s="8" t="s">
        <v>36</v>
      </c>
      <c r="K6" s="5"/>
      <c r="L6" s="5" t="s">
        <v>1724</v>
      </c>
      <c r="M6" s="8" t="s">
        <v>1918</v>
      </c>
    </row>
    <row r="7" spans="1:13">
      <c r="A7" t="s">
        <v>1289</v>
      </c>
      <c r="B7">
        <v>1</v>
      </c>
      <c r="C7" s="7">
        <v>170</v>
      </c>
      <c r="D7" s="7">
        <v>170</v>
      </c>
      <c r="E7" s="7">
        <v>170</v>
      </c>
      <c r="F7" s="4">
        <v>46239</v>
      </c>
      <c r="G7" s="4">
        <v>46239</v>
      </c>
      <c r="H7" t="s">
        <v>17</v>
      </c>
      <c r="I7" t="s">
        <v>29</v>
      </c>
      <c r="J7" s="8" t="s">
        <v>36</v>
      </c>
      <c r="K7" s="5"/>
      <c r="L7" s="5" t="s">
        <v>1288</v>
      </c>
      <c r="M7" s="8" t="s">
        <v>1918</v>
      </c>
    </row>
    <row r="8" spans="1:13">
      <c r="A8" t="s">
        <v>1146</v>
      </c>
      <c r="B8">
        <v>4</v>
      </c>
      <c r="C8" s="7">
        <v>161.65</v>
      </c>
      <c r="D8" s="7">
        <v>9.475</v>
      </c>
      <c r="E8" s="7">
        <v>40.4125</v>
      </c>
      <c r="F8" s="4">
        <v>46231</v>
      </c>
      <c r="G8" s="4">
        <v>46241</v>
      </c>
      <c r="H8" t="s">
        <v>2</v>
      </c>
      <c r="I8" t="s">
        <v>25</v>
      </c>
      <c r="J8" s="6" t="s">
        <v>34</v>
      </c>
      <c r="K8" s="5" t="s">
        <v>1919</v>
      </c>
      <c r="L8" s="5" t="s">
        <v>1920</v>
      </c>
      <c r="M8" s="6" t="s">
        <v>1917</v>
      </c>
    </row>
    <row r="9" spans="1:13">
      <c r="A9" t="s">
        <v>1238</v>
      </c>
      <c r="B9">
        <v>1</v>
      </c>
      <c r="C9" s="7">
        <v>133.2</v>
      </c>
      <c r="D9" s="7">
        <v>133.2</v>
      </c>
      <c r="E9" s="7">
        <v>133.2</v>
      </c>
      <c r="F9" s="4">
        <v>46238</v>
      </c>
      <c r="G9" s="4">
        <v>46238</v>
      </c>
      <c r="H9" t="s">
        <v>17</v>
      </c>
      <c r="I9" t="s">
        <v>29</v>
      </c>
      <c r="J9" s="8" t="s">
        <v>36</v>
      </c>
      <c r="K9" s="5"/>
      <c r="L9" s="5" t="s">
        <v>1237</v>
      </c>
      <c r="M9" s="8" t="s">
        <v>1918</v>
      </c>
    </row>
    <row r="10" spans="1:13">
      <c r="A10" t="s">
        <v>1187</v>
      </c>
      <c r="B10">
        <v>1</v>
      </c>
      <c r="C10" s="7">
        <v>130.29</v>
      </c>
      <c r="D10" s="7">
        <v>130.29</v>
      </c>
      <c r="E10" s="7">
        <v>130.29</v>
      </c>
      <c r="F10" s="4">
        <v>46233</v>
      </c>
      <c r="G10" s="4">
        <v>46233</v>
      </c>
      <c r="H10" t="s">
        <v>17</v>
      </c>
      <c r="I10" t="s">
        <v>29</v>
      </c>
      <c r="J10" s="8" t="s">
        <v>36</v>
      </c>
      <c r="K10" s="5"/>
      <c r="L10" s="5" t="s">
        <v>1185</v>
      </c>
      <c r="M10" s="8" t="s">
        <v>1918</v>
      </c>
    </row>
    <row r="11" spans="1:13">
      <c r="A11" t="s">
        <v>52</v>
      </c>
      <c r="B11">
        <v>15</v>
      </c>
      <c r="C11" s="7">
        <v>112.09</v>
      </c>
      <c r="D11" s="7">
        <v>7.1</v>
      </c>
      <c r="E11" s="7">
        <v>7.472666666666666</v>
      </c>
      <c r="F11" s="4">
        <v>46174</v>
      </c>
      <c r="G11" s="4">
        <v>46273</v>
      </c>
      <c r="H11" t="s">
        <v>3</v>
      </c>
      <c r="I11" t="s">
        <v>26</v>
      </c>
      <c r="J11" s="6" t="s">
        <v>34</v>
      </c>
      <c r="K11" s="5" t="s">
        <v>53</v>
      </c>
      <c r="L11" s="5" t="s">
        <v>1921</v>
      </c>
      <c r="M11" s="6" t="s">
        <v>1917</v>
      </c>
    </row>
    <row r="12" spans="1:13">
      <c r="A12" t="s">
        <v>1547</v>
      </c>
      <c r="B12">
        <v>2</v>
      </c>
      <c r="C12" s="7">
        <v>95.8</v>
      </c>
      <c r="D12" s="7">
        <v>47.9</v>
      </c>
      <c r="E12" s="7">
        <v>47.9</v>
      </c>
      <c r="F12" s="4">
        <v>46255</v>
      </c>
      <c r="G12" s="4">
        <v>46267</v>
      </c>
      <c r="H12" t="s">
        <v>17</v>
      </c>
      <c r="I12" t="s">
        <v>29</v>
      </c>
      <c r="J12" s="8" t="s">
        <v>36</v>
      </c>
      <c r="K12" s="5"/>
      <c r="L12" s="5" t="s">
        <v>1546</v>
      </c>
      <c r="M12" s="8" t="s">
        <v>1918</v>
      </c>
    </row>
    <row r="13" spans="1:13">
      <c r="A13" t="s">
        <v>915</v>
      </c>
      <c r="B13">
        <v>1</v>
      </c>
      <c r="C13" s="7">
        <v>91.36</v>
      </c>
      <c r="D13" s="7">
        <v>91.36</v>
      </c>
      <c r="E13" s="7">
        <v>91.36</v>
      </c>
      <c r="F13" s="4">
        <v>46217</v>
      </c>
      <c r="G13" s="4">
        <v>46217</v>
      </c>
      <c r="H13" t="s">
        <v>17</v>
      </c>
      <c r="I13" t="s">
        <v>29</v>
      </c>
      <c r="J13" s="8" t="s">
        <v>36</v>
      </c>
      <c r="K13" s="5"/>
      <c r="L13" s="5" t="s">
        <v>914</v>
      </c>
      <c r="M13" s="8" t="s">
        <v>1918</v>
      </c>
    </row>
    <row r="14" spans="1:13">
      <c r="A14" t="s">
        <v>1698</v>
      </c>
      <c r="B14">
        <v>1</v>
      </c>
      <c r="C14" s="7">
        <v>86.89</v>
      </c>
      <c r="D14" s="7">
        <v>86.89</v>
      </c>
      <c r="E14" s="7">
        <v>86.89</v>
      </c>
      <c r="F14" s="4">
        <v>46265</v>
      </c>
      <c r="G14" s="4">
        <v>46265</v>
      </c>
      <c r="H14" t="s">
        <v>17</v>
      </c>
      <c r="I14" t="s">
        <v>29</v>
      </c>
      <c r="J14" s="8" t="s">
        <v>36</v>
      </c>
      <c r="K14" s="5"/>
      <c r="L14" s="5" t="s">
        <v>1697</v>
      </c>
      <c r="M14" s="8" t="s">
        <v>1918</v>
      </c>
    </row>
    <row r="15" spans="1:13">
      <c r="A15" t="s">
        <v>1120</v>
      </c>
      <c r="B15">
        <v>1</v>
      </c>
      <c r="C15" s="7">
        <v>84.33</v>
      </c>
      <c r="D15" s="7">
        <v>84.33</v>
      </c>
      <c r="E15" s="7">
        <v>84.33</v>
      </c>
      <c r="F15" s="4">
        <v>46229</v>
      </c>
      <c r="G15" s="4">
        <v>46229</v>
      </c>
      <c r="H15" t="s">
        <v>9</v>
      </c>
      <c r="I15" t="s">
        <v>26</v>
      </c>
      <c r="J15" s="6" t="s">
        <v>34</v>
      </c>
      <c r="K15" s="5" t="s">
        <v>1121</v>
      </c>
      <c r="L15" s="5" t="s">
        <v>1119</v>
      </c>
      <c r="M15" s="6" t="s">
        <v>1917</v>
      </c>
    </row>
    <row r="16" spans="1:13">
      <c r="A16" t="s">
        <v>390</v>
      </c>
      <c r="B16">
        <v>6</v>
      </c>
      <c r="C16" s="7">
        <v>77.84999999999999</v>
      </c>
      <c r="D16" s="7">
        <v>12.13</v>
      </c>
      <c r="E16" s="7">
        <v>12.975</v>
      </c>
      <c r="F16" s="4">
        <v>46189</v>
      </c>
      <c r="G16" s="4">
        <v>46273</v>
      </c>
      <c r="H16" t="s">
        <v>17</v>
      </c>
      <c r="I16" t="s">
        <v>29</v>
      </c>
      <c r="J16" s="8" t="s">
        <v>36</v>
      </c>
      <c r="K16" s="5"/>
      <c r="L16" s="5" t="s">
        <v>389</v>
      </c>
      <c r="M16" s="8" t="s">
        <v>1918</v>
      </c>
    </row>
    <row r="17" spans="1:13">
      <c r="A17" t="s">
        <v>1096</v>
      </c>
      <c r="B17">
        <v>3</v>
      </c>
      <c r="C17" s="7">
        <v>70.77</v>
      </c>
      <c r="D17" s="7">
        <v>30.33</v>
      </c>
      <c r="E17" s="7">
        <v>23.59</v>
      </c>
      <c r="F17" s="4">
        <v>46227</v>
      </c>
      <c r="G17" s="4">
        <v>46227</v>
      </c>
      <c r="H17" t="s">
        <v>17</v>
      </c>
      <c r="I17" t="s">
        <v>29</v>
      </c>
      <c r="J17" s="8" t="s">
        <v>36</v>
      </c>
      <c r="K17" s="5"/>
      <c r="L17" s="5" t="s">
        <v>1095</v>
      </c>
      <c r="M17" s="8" t="s">
        <v>1918</v>
      </c>
    </row>
    <row r="18" spans="1:13">
      <c r="A18" t="s">
        <v>1833</v>
      </c>
      <c r="B18">
        <v>1</v>
      </c>
      <c r="C18" s="7">
        <v>69.55</v>
      </c>
      <c r="D18" s="7">
        <v>69.55</v>
      </c>
      <c r="E18" s="7">
        <v>69.55</v>
      </c>
      <c r="F18" s="4">
        <v>46273</v>
      </c>
      <c r="G18" s="4">
        <v>46273</v>
      </c>
      <c r="H18" t="s">
        <v>17</v>
      </c>
      <c r="I18" t="s">
        <v>29</v>
      </c>
      <c r="J18" s="8" t="s">
        <v>36</v>
      </c>
      <c r="K18" s="5"/>
      <c r="L18" s="5" t="s">
        <v>1832</v>
      </c>
      <c r="M18" s="8" t="s">
        <v>1918</v>
      </c>
    </row>
    <row r="19" spans="1:13">
      <c r="A19" t="s">
        <v>780</v>
      </c>
      <c r="B19">
        <v>1</v>
      </c>
      <c r="C19" s="7">
        <v>69.09999999999999</v>
      </c>
      <c r="D19" s="7">
        <v>69.09999999999999</v>
      </c>
      <c r="E19" s="7">
        <v>69.09999999999999</v>
      </c>
      <c r="F19" s="4">
        <v>46210</v>
      </c>
      <c r="G19" s="4">
        <v>46210</v>
      </c>
      <c r="H19" t="s">
        <v>17</v>
      </c>
      <c r="I19" t="s">
        <v>29</v>
      </c>
      <c r="J19" s="8" t="s">
        <v>36</v>
      </c>
      <c r="K19" s="5"/>
      <c r="L19" s="5" t="s">
        <v>778</v>
      </c>
      <c r="M19" s="8" t="s">
        <v>1918</v>
      </c>
    </row>
    <row r="20" spans="1:13">
      <c r="A20" t="s">
        <v>1078</v>
      </c>
      <c r="B20">
        <v>2</v>
      </c>
      <c r="C20" s="7">
        <v>66.45</v>
      </c>
      <c r="D20" s="7">
        <v>33.225</v>
      </c>
      <c r="E20" s="7">
        <v>33.225</v>
      </c>
      <c r="F20" s="4">
        <v>46227</v>
      </c>
      <c r="G20" s="4">
        <v>46227</v>
      </c>
      <c r="H20" t="s">
        <v>17</v>
      </c>
      <c r="I20" t="s">
        <v>29</v>
      </c>
      <c r="J20" s="8" t="s">
        <v>36</v>
      </c>
      <c r="K20" s="5"/>
      <c r="L20" s="5" t="s">
        <v>1077</v>
      </c>
      <c r="M20" s="8" t="s">
        <v>1918</v>
      </c>
    </row>
    <row r="21" spans="1:13">
      <c r="A21" t="s">
        <v>1393</v>
      </c>
      <c r="B21">
        <v>14</v>
      </c>
      <c r="C21" s="7">
        <v>62.16</v>
      </c>
      <c r="D21" s="7">
        <v>4.05</v>
      </c>
      <c r="E21" s="7">
        <v>4.44</v>
      </c>
      <c r="F21" s="4">
        <v>46245</v>
      </c>
      <c r="G21" s="4">
        <v>46266</v>
      </c>
      <c r="H21" t="s">
        <v>3</v>
      </c>
      <c r="I21" t="s">
        <v>26</v>
      </c>
      <c r="J21" s="6" t="s">
        <v>34</v>
      </c>
      <c r="K21" s="5" t="s">
        <v>1394</v>
      </c>
      <c r="L21" s="5" t="s">
        <v>1392</v>
      </c>
      <c r="M21" s="6" t="s">
        <v>1917</v>
      </c>
    </row>
    <row r="22" spans="1:13">
      <c r="A22" t="s">
        <v>150</v>
      </c>
      <c r="B22">
        <v>9</v>
      </c>
      <c r="C22" s="7">
        <v>59.18</v>
      </c>
      <c r="D22" s="7">
        <v>6.07</v>
      </c>
      <c r="E22" s="7">
        <v>6.575555555555556</v>
      </c>
      <c r="F22" s="4">
        <v>46177</v>
      </c>
      <c r="G22" s="4">
        <v>46259</v>
      </c>
      <c r="H22" t="s">
        <v>3</v>
      </c>
      <c r="I22" t="s">
        <v>26</v>
      </c>
      <c r="J22" s="6" t="s">
        <v>34</v>
      </c>
      <c r="K22" s="5" t="s">
        <v>151</v>
      </c>
      <c r="L22" s="5" t="s">
        <v>149</v>
      </c>
      <c r="M22" s="6" t="s">
        <v>1917</v>
      </c>
    </row>
    <row r="23" spans="1:13">
      <c r="A23" t="s">
        <v>233</v>
      </c>
      <c r="B23">
        <v>5</v>
      </c>
      <c r="C23" s="7">
        <v>53.33</v>
      </c>
      <c r="D23" s="7">
        <v>10.2</v>
      </c>
      <c r="E23" s="7">
        <v>10.666</v>
      </c>
      <c r="F23" s="4">
        <v>46181</v>
      </c>
      <c r="G23" s="4">
        <v>46266</v>
      </c>
      <c r="H23" t="s">
        <v>17</v>
      </c>
      <c r="I23" t="s">
        <v>29</v>
      </c>
      <c r="J23" s="8" t="s">
        <v>36</v>
      </c>
      <c r="K23" s="5"/>
      <c r="L23" s="5" t="s">
        <v>1922</v>
      </c>
      <c r="M23" s="8" t="s">
        <v>1918</v>
      </c>
    </row>
    <row r="24" spans="1:13">
      <c r="A24" t="s">
        <v>1075</v>
      </c>
      <c r="B24">
        <v>5</v>
      </c>
      <c r="C24" s="7">
        <v>51.33</v>
      </c>
      <c r="D24" s="7">
        <v>8.130000000000001</v>
      </c>
      <c r="E24" s="7">
        <v>10.266</v>
      </c>
      <c r="F24" s="4">
        <v>46227</v>
      </c>
      <c r="G24" s="4">
        <v>46232</v>
      </c>
      <c r="H24" t="s">
        <v>17</v>
      </c>
      <c r="I24" t="s">
        <v>29</v>
      </c>
      <c r="J24" s="8" t="s">
        <v>36</v>
      </c>
      <c r="K24" s="5"/>
      <c r="L24" s="5" t="s">
        <v>1073</v>
      </c>
      <c r="M24" s="8" t="s">
        <v>1918</v>
      </c>
    </row>
    <row r="25" spans="1:13">
      <c r="A25" t="s">
        <v>1577</v>
      </c>
      <c r="B25">
        <v>1</v>
      </c>
      <c r="C25" s="7">
        <v>50.88</v>
      </c>
      <c r="D25" s="7">
        <v>50.88</v>
      </c>
      <c r="E25" s="7">
        <v>50.88</v>
      </c>
      <c r="F25" s="4">
        <v>46259</v>
      </c>
      <c r="G25" s="4">
        <v>46259</v>
      </c>
      <c r="H25" t="s">
        <v>17</v>
      </c>
      <c r="I25" t="s">
        <v>29</v>
      </c>
      <c r="J25" s="8" t="s">
        <v>36</v>
      </c>
      <c r="K25" s="5"/>
      <c r="L25" s="5" t="s">
        <v>1575</v>
      </c>
      <c r="M25" s="8" t="s">
        <v>1918</v>
      </c>
    </row>
    <row r="26" spans="1:13">
      <c r="A26" t="s">
        <v>269</v>
      </c>
      <c r="B26">
        <v>1</v>
      </c>
      <c r="C26" s="7">
        <v>50.62</v>
      </c>
      <c r="D26" s="7">
        <v>50.62</v>
      </c>
      <c r="E26" s="7">
        <v>50.62</v>
      </c>
      <c r="F26" s="4">
        <v>46182</v>
      </c>
      <c r="G26" s="4">
        <v>46182</v>
      </c>
      <c r="H26" t="s">
        <v>17</v>
      </c>
      <c r="I26" t="s">
        <v>29</v>
      </c>
      <c r="J26" s="8" t="s">
        <v>36</v>
      </c>
      <c r="K26" s="5"/>
      <c r="L26" s="5" t="s">
        <v>268</v>
      </c>
      <c r="M26" s="8" t="s">
        <v>1918</v>
      </c>
    </row>
    <row r="27" spans="1:13">
      <c r="A27" t="s">
        <v>1446</v>
      </c>
      <c r="B27">
        <v>1</v>
      </c>
      <c r="C27" s="7">
        <v>50</v>
      </c>
      <c r="D27" s="7">
        <v>50</v>
      </c>
      <c r="E27" s="7">
        <v>50</v>
      </c>
      <c r="F27" s="4">
        <v>46249</v>
      </c>
      <c r="G27" s="4">
        <v>46249</v>
      </c>
      <c r="H27" t="s">
        <v>17</v>
      </c>
      <c r="I27" t="s">
        <v>29</v>
      </c>
      <c r="J27" s="8" t="s">
        <v>36</v>
      </c>
      <c r="K27" s="5"/>
      <c r="L27" s="5" t="s">
        <v>1445</v>
      </c>
      <c r="M27" s="8" t="s">
        <v>1918</v>
      </c>
    </row>
    <row r="28" spans="1:13">
      <c r="A28" t="s">
        <v>516</v>
      </c>
      <c r="B28">
        <v>1</v>
      </c>
      <c r="C28" s="7">
        <v>45.45</v>
      </c>
      <c r="D28" s="7">
        <v>45.45</v>
      </c>
      <c r="E28" s="7">
        <v>45.45</v>
      </c>
      <c r="F28" s="4">
        <v>46197</v>
      </c>
      <c r="G28" s="4">
        <v>46197</v>
      </c>
      <c r="H28" t="s">
        <v>17</v>
      </c>
      <c r="I28" t="s">
        <v>29</v>
      </c>
      <c r="J28" s="8" t="s">
        <v>36</v>
      </c>
      <c r="K28" s="5"/>
      <c r="L28" s="5" t="s">
        <v>515</v>
      </c>
      <c r="M28" s="8" t="s">
        <v>1918</v>
      </c>
    </row>
    <row r="29" spans="1:13">
      <c r="A29" t="s">
        <v>1025</v>
      </c>
      <c r="B29">
        <v>1</v>
      </c>
      <c r="C29" s="7">
        <v>45</v>
      </c>
      <c r="D29" s="7">
        <v>45</v>
      </c>
      <c r="E29" s="7">
        <v>45</v>
      </c>
      <c r="F29" s="4">
        <v>46224</v>
      </c>
      <c r="G29" s="4">
        <v>46224</v>
      </c>
      <c r="H29" t="s">
        <v>17</v>
      </c>
      <c r="I29" t="s">
        <v>29</v>
      </c>
      <c r="J29" s="8" t="s">
        <v>36</v>
      </c>
      <c r="K29" s="5"/>
      <c r="L29" s="5" t="s">
        <v>1025</v>
      </c>
      <c r="M29" s="8" t="s">
        <v>1918</v>
      </c>
    </row>
    <row r="30" spans="1:13">
      <c r="A30" t="s">
        <v>824</v>
      </c>
      <c r="B30">
        <v>1</v>
      </c>
      <c r="C30" s="7">
        <v>43.5</v>
      </c>
      <c r="D30" s="7">
        <v>43.5</v>
      </c>
      <c r="E30" s="7">
        <v>43.5</v>
      </c>
      <c r="F30" s="4">
        <v>46211</v>
      </c>
      <c r="G30" s="4">
        <v>46211</v>
      </c>
      <c r="H30" t="s">
        <v>17</v>
      </c>
      <c r="I30" t="s">
        <v>29</v>
      </c>
      <c r="J30" s="8" t="s">
        <v>36</v>
      </c>
      <c r="K30" s="5"/>
      <c r="L30" s="5" t="s">
        <v>823</v>
      </c>
      <c r="M30" s="8" t="s">
        <v>1918</v>
      </c>
    </row>
    <row r="31" spans="1:13">
      <c r="A31" t="s">
        <v>1348</v>
      </c>
      <c r="B31">
        <v>1</v>
      </c>
      <c r="C31" s="7">
        <v>42.7</v>
      </c>
      <c r="D31" s="7">
        <v>42.7</v>
      </c>
      <c r="E31" s="7">
        <v>42.7</v>
      </c>
      <c r="F31" s="4">
        <v>46245</v>
      </c>
      <c r="G31" s="4">
        <v>46245</v>
      </c>
      <c r="H31" t="s">
        <v>23</v>
      </c>
      <c r="I31" t="s">
        <v>28</v>
      </c>
      <c r="J31" s="6" t="s">
        <v>34</v>
      </c>
      <c r="K31" s="5" t="s">
        <v>1349</v>
      </c>
      <c r="L31" s="5" t="s">
        <v>1346</v>
      </c>
      <c r="M31" s="6" t="s">
        <v>1917</v>
      </c>
    </row>
    <row r="32" spans="1:13">
      <c r="A32" t="s">
        <v>1363</v>
      </c>
      <c r="B32">
        <v>2</v>
      </c>
      <c r="C32" s="7">
        <v>42.5</v>
      </c>
      <c r="D32" s="7">
        <v>21.25</v>
      </c>
      <c r="E32" s="7">
        <v>21.25</v>
      </c>
      <c r="F32" s="4">
        <v>46245</v>
      </c>
      <c r="G32" s="4">
        <v>46245</v>
      </c>
      <c r="H32" t="s">
        <v>17</v>
      </c>
      <c r="I32" t="s">
        <v>29</v>
      </c>
      <c r="J32" s="8" t="s">
        <v>36</v>
      </c>
      <c r="K32" s="5"/>
      <c r="L32" s="5" t="s">
        <v>1362</v>
      </c>
      <c r="M32" s="8" t="s">
        <v>1918</v>
      </c>
    </row>
    <row r="33" spans="1:13">
      <c r="A33" t="s">
        <v>844</v>
      </c>
      <c r="B33">
        <v>1</v>
      </c>
      <c r="C33" s="7">
        <v>41.08</v>
      </c>
      <c r="D33" s="7">
        <v>41.08</v>
      </c>
      <c r="E33" s="7">
        <v>41.08</v>
      </c>
      <c r="F33" s="4">
        <v>46212</v>
      </c>
      <c r="G33" s="4">
        <v>46212</v>
      </c>
      <c r="H33" t="s">
        <v>17</v>
      </c>
      <c r="I33" t="s">
        <v>29</v>
      </c>
      <c r="J33" s="8" t="s">
        <v>36</v>
      </c>
      <c r="K33" s="5"/>
      <c r="L33" s="5" t="s">
        <v>843</v>
      </c>
      <c r="M33" s="8" t="s">
        <v>1918</v>
      </c>
    </row>
    <row r="34" spans="1:13">
      <c r="A34" t="s">
        <v>246</v>
      </c>
      <c r="B34">
        <v>3</v>
      </c>
      <c r="C34" s="7">
        <v>37.58</v>
      </c>
      <c r="D34" s="7">
        <v>11.99</v>
      </c>
      <c r="E34" s="7">
        <v>12.52666666666667</v>
      </c>
      <c r="F34" s="4">
        <v>46182</v>
      </c>
      <c r="G34" s="4">
        <v>46224</v>
      </c>
      <c r="H34" t="s">
        <v>17</v>
      </c>
      <c r="I34" t="s">
        <v>29</v>
      </c>
      <c r="J34" s="8" t="s">
        <v>36</v>
      </c>
      <c r="K34" s="5"/>
      <c r="L34" s="5" t="s">
        <v>245</v>
      </c>
      <c r="M34" s="8" t="s">
        <v>1918</v>
      </c>
    </row>
    <row r="35" spans="1:13">
      <c r="A35" t="s">
        <v>878</v>
      </c>
      <c r="B35">
        <v>1</v>
      </c>
      <c r="C35" s="7">
        <v>36.49</v>
      </c>
      <c r="D35" s="7">
        <v>36.49</v>
      </c>
      <c r="E35" s="7">
        <v>36.49</v>
      </c>
      <c r="F35" s="4">
        <v>46215</v>
      </c>
      <c r="G35" s="4">
        <v>46215</v>
      </c>
      <c r="H35" t="s">
        <v>17</v>
      </c>
      <c r="I35" t="s">
        <v>29</v>
      </c>
      <c r="J35" s="8" t="s">
        <v>36</v>
      </c>
      <c r="K35" s="5"/>
      <c r="L35" s="5" t="s">
        <v>877</v>
      </c>
      <c r="M35" s="8" t="s">
        <v>1918</v>
      </c>
    </row>
    <row r="36" spans="1:13">
      <c r="A36" t="s">
        <v>501</v>
      </c>
      <c r="B36">
        <v>1</v>
      </c>
      <c r="C36" s="7">
        <v>36.2</v>
      </c>
      <c r="D36" s="7">
        <v>36.2</v>
      </c>
      <c r="E36" s="7">
        <v>36.2</v>
      </c>
      <c r="F36" s="4">
        <v>46196</v>
      </c>
      <c r="G36" s="4">
        <v>46196</v>
      </c>
      <c r="H36" t="s">
        <v>17</v>
      </c>
      <c r="I36" t="s">
        <v>29</v>
      </c>
      <c r="J36" s="8" t="s">
        <v>36</v>
      </c>
      <c r="K36" s="5"/>
      <c r="L36" s="5" t="s">
        <v>500</v>
      </c>
      <c r="M36" s="8" t="s">
        <v>1918</v>
      </c>
    </row>
    <row r="37" spans="1:13">
      <c r="A37" t="s">
        <v>1449</v>
      </c>
      <c r="B37">
        <v>2</v>
      </c>
      <c r="C37" s="7">
        <v>35.5</v>
      </c>
      <c r="D37" s="7">
        <v>17.75</v>
      </c>
      <c r="E37" s="7">
        <v>17.75</v>
      </c>
      <c r="F37" s="4">
        <v>46249</v>
      </c>
      <c r="G37" s="4">
        <v>46249</v>
      </c>
      <c r="H37" t="s">
        <v>17</v>
      </c>
      <c r="I37" t="s">
        <v>29</v>
      </c>
      <c r="J37" s="8" t="s">
        <v>36</v>
      </c>
      <c r="K37" s="5"/>
      <c r="L37" s="5" t="s">
        <v>1448</v>
      </c>
      <c r="M37" s="8" t="s">
        <v>1918</v>
      </c>
    </row>
    <row r="38" spans="1:13">
      <c r="A38" t="s">
        <v>559</v>
      </c>
      <c r="B38">
        <v>1</v>
      </c>
      <c r="C38" s="7">
        <v>33.99</v>
      </c>
      <c r="D38" s="7">
        <v>33.99</v>
      </c>
      <c r="E38" s="7">
        <v>33.99</v>
      </c>
      <c r="F38" s="4">
        <v>46198</v>
      </c>
      <c r="G38" s="4">
        <v>46198</v>
      </c>
      <c r="H38" t="s">
        <v>12</v>
      </c>
      <c r="I38" t="s">
        <v>26</v>
      </c>
      <c r="J38" s="6" t="s">
        <v>34</v>
      </c>
      <c r="K38" s="5" t="s">
        <v>560</v>
      </c>
      <c r="L38" s="5" t="s">
        <v>557</v>
      </c>
      <c r="M38" s="6" t="s">
        <v>1917</v>
      </c>
    </row>
    <row r="39" spans="1:13">
      <c r="A39" t="s">
        <v>223</v>
      </c>
      <c r="B39">
        <v>1</v>
      </c>
      <c r="C39" s="7">
        <v>33.53</v>
      </c>
      <c r="D39" s="7">
        <v>33.53</v>
      </c>
      <c r="E39" s="7">
        <v>33.53</v>
      </c>
      <c r="F39" s="4">
        <v>46180</v>
      </c>
      <c r="G39" s="4">
        <v>46180</v>
      </c>
      <c r="H39" t="s">
        <v>17</v>
      </c>
      <c r="I39" t="s">
        <v>29</v>
      </c>
      <c r="J39" s="8" t="s">
        <v>36</v>
      </c>
      <c r="K39" s="5"/>
      <c r="L39" s="5" t="s">
        <v>222</v>
      </c>
      <c r="M39" s="8" t="s">
        <v>1918</v>
      </c>
    </row>
    <row r="40" spans="1:13">
      <c r="A40" t="s">
        <v>993</v>
      </c>
      <c r="B40">
        <v>2</v>
      </c>
      <c r="C40" s="7">
        <v>33.47</v>
      </c>
      <c r="D40" s="7">
        <v>16.735</v>
      </c>
      <c r="E40" s="7">
        <v>16.735</v>
      </c>
      <c r="F40" s="4">
        <v>46223</v>
      </c>
      <c r="G40" s="4">
        <v>46225</v>
      </c>
      <c r="H40" t="s">
        <v>17</v>
      </c>
      <c r="I40" t="s">
        <v>29</v>
      </c>
      <c r="J40" s="8" t="s">
        <v>36</v>
      </c>
      <c r="K40" s="5"/>
      <c r="L40" s="5" t="s">
        <v>992</v>
      </c>
      <c r="M40" s="8" t="s">
        <v>1918</v>
      </c>
    </row>
    <row r="41" spans="1:13">
      <c r="A41" t="s">
        <v>961</v>
      </c>
      <c r="B41">
        <v>1</v>
      </c>
      <c r="C41" s="7">
        <v>32.95</v>
      </c>
      <c r="D41" s="7">
        <v>32.95</v>
      </c>
      <c r="E41" s="7">
        <v>32.95</v>
      </c>
      <c r="F41" s="4">
        <v>46219</v>
      </c>
      <c r="G41" s="4">
        <v>46219</v>
      </c>
      <c r="H41" t="s">
        <v>23</v>
      </c>
      <c r="I41" t="s">
        <v>28</v>
      </c>
      <c r="J41" s="6" t="s">
        <v>34</v>
      </c>
      <c r="K41" s="5" t="s">
        <v>962</v>
      </c>
      <c r="L41" s="5" t="s">
        <v>960</v>
      </c>
      <c r="M41" s="6" t="s">
        <v>1917</v>
      </c>
    </row>
    <row r="42" spans="1:13">
      <c r="A42" t="s">
        <v>911</v>
      </c>
      <c r="B42">
        <v>1</v>
      </c>
      <c r="C42" s="7">
        <v>31.97</v>
      </c>
      <c r="D42" s="7">
        <v>31.97</v>
      </c>
      <c r="E42" s="7">
        <v>31.97</v>
      </c>
      <c r="F42" s="4">
        <v>46217</v>
      </c>
      <c r="G42" s="4">
        <v>46217</v>
      </c>
      <c r="H42" t="s">
        <v>17</v>
      </c>
      <c r="I42" t="s">
        <v>29</v>
      </c>
      <c r="J42" s="8" t="s">
        <v>36</v>
      </c>
      <c r="K42" s="5"/>
      <c r="L42" s="5" t="s">
        <v>909</v>
      </c>
      <c r="M42" s="8" t="s">
        <v>1918</v>
      </c>
    </row>
    <row r="43" spans="1:13">
      <c r="A43" t="s">
        <v>918</v>
      </c>
      <c r="B43">
        <v>1</v>
      </c>
      <c r="C43" s="7">
        <v>30.53</v>
      </c>
      <c r="D43" s="7">
        <v>30.53</v>
      </c>
      <c r="E43" s="7">
        <v>30.53</v>
      </c>
      <c r="F43" s="4">
        <v>46217</v>
      </c>
      <c r="G43" s="4">
        <v>46217</v>
      </c>
      <c r="H43" t="s">
        <v>17</v>
      </c>
      <c r="I43" t="s">
        <v>29</v>
      </c>
      <c r="J43" s="8" t="s">
        <v>36</v>
      </c>
      <c r="K43" s="5"/>
      <c r="L43" s="5" t="s">
        <v>917</v>
      </c>
      <c r="M43" s="8" t="s">
        <v>1918</v>
      </c>
    </row>
    <row r="44" spans="1:13">
      <c r="A44" t="s">
        <v>71</v>
      </c>
      <c r="B44">
        <v>2</v>
      </c>
      <c r="C44" s="7">
        <v>30.49</v>
      </c>
      <c r="D44" s="7">
        <v>15.245</v>
      </c>
      <c r="E44" s="7">
        <v>15.245</v>
      </c>
      <c r="F44" s="4">
        <v>46175</v>
      </c>
      <c r="G44" s="4">
        <v>46273</v>
      </c>
      <c r="H44" t="s">
        <v>17</v>
      </c>
      <c r="I44" t="s">
        <v>29</v>
      </c>
      <c r="J44" s="8" t="s">
        <v>36</v>
      </c>
      <c r="K44" s="5"/>
      <c r="L44" s="5" t="s">
        <v>69</v>
      </c>
      <c r="M44" s="8" t="s">
        <v>1918</v>
      </c>
    </row>
    <row r="45" spans="1:13">
      <c r="A45" t="s">
        <v>1124</v>
      </c>
      <c r="B45">
        <v>1</v>
      </c>
      <c r="C45" s="7">
        <v>29.99</v>
      </c>
      <c r="D45" s="7">
        <v>29.99</v>
      </c>
      <c r="E45" s="7">
        <v>29.99</v>
      </c>
      <c r="F45" s="4">
        <v>46229</v>
      </c>
      <c r="G45" s="4">
        <v>46229</v>
      </c>
      <c r="H45" t="s">
        <v>17</v>
      </c>
      <c r="I45" t="s">
        <v>29</v>
      </c>
      <c r="J45" s="8" t="s">
        <v>36</v>
      </c>
      <c r="K45" s="5"/>
      <c r="L45" s="5" t="s">
        <v>1123</v>
      </c>
      <c r="M45" s="8" t="s">
        <v>1918</v>
      </c>
    </row>
    <row r="46" spans="1:13">
      <c r="A46" t="s">
        <v>1707</v>
      </c>
      <c r="B46">
        <v>2</v>
      </c>
      <c r="C46" s="7">
        <v>28</v>
      </c>
      <c r="D46" s="7">
        <v>14</v>
      </c>
      <c r="E46" s="7">
        <v>14</v>
      </c>
      <c r="F46" s="4">
        <v>46266</v>
      </c>
      <c r="G46" s="4">
        <v>46266</v>
      </c>
      <c r="H46" t="s">
        <v>17</v>
      </c>
      <c r="I46" t="s">
        <v>29</v>
      </c>
      <c r="J46" s="8" t="s">
        <v>36</v>
      </c>
      <c r="K46" s="5"/>
      <c r="L46" s="5" t="s">
        <v>1706</v>
      </c>
      <c r="M46" s="8" t="s">
        <v>1918</v>
      </c>
    </row>
    <row r="47" spans="1:13">
      <c r="A47" t="s">
        <v>858</v>
      </c>
      <c r="B47">
        <v>1</v>
      </c>
      <c r="C47" s="7">
        <v>27.56</v>
      </c>
      <c r="D47" s="7">
        <v>27.56</v>
      </c>
      <c r="E47" s="7">
        <v>27.56</v>
      </c>
      <c r="F47" s="4">
        <v>46213</v>
      </c>
      <c r="G47" s="4">
        <v>46213</v>
      </c>
      <c r="H47" t="s">
        <v>17</v>
      </c>
      <c r="I47" t="s">
        <v>29</v>
      </c>
      <c r="J47" s="8" t="s">
        <v>36</v>
      </c>
      <c r="K47" s="5"/>
      <c r="L47" s="5" t="s">
        <v>857</v>
      </c>
      <c r="M47" s="8" t="s">
        <v>1918</v>
      </c>
    </row>
    <row r="48" spans="1:13">
      <c r="A48" t="s">
        <v>1372</v>
      </c>
      <c r="B48">
        <v>2</v>
      </c>
      <c r="C48" s="7">
        <v>27.53</v>
      </c>
      <c r="D48" s="7">
        <v>13.765</v>
      </c>
      <c r="E48" s="7">
        <v>13.765</v>
      </c>
      <c r="F48" s="4">
        <v>46245</v>
      </c>
      <c r="G48" s="4">
        <v>46266</v>
      </c>
      <c r="H48" t="s">
        <v>17</v>
      </c>
      <c r="I48" t="s">
        <v>29</v>
      </c>
      <c r="J48" s="8" t="s">
        <v>36</v>
      </c>
      <c r="K48" s="5"/>
      <c r="L48" s="5" t="s">
        <v>1371</v>
      </c>
      <c r="M48" s="8" t="s">
        <v>1918</v>
      </c>
    </row>
    <row r="49" spans="1:13">
      <c r="A49" t="s">
        <v>460</v>
      </c>
      <c r="B49">
        <v>1</v>
      </c>
      <c r="C49" s="7">
        <v>27</v>
      </c>
      <c r="D49" s="7">
        <v>27</v>
      </c>
      <c r="E49" s="7">
        <v>27</v>
      </c>
      <c r="F49" s="4">
        <v>46193</v>
      </c>
      <c r="G49" s="4">
        <v>46193</v>
      </c>
      <c r="H49" t="s">
        <v>17</v>
      </c>
      <c r="I49" t="s">
        <v>29</v>
      </c>
      <c r="J49" s="8" t="s">
        <v>36</v>
      </c>
      <c r="K49" s="5"/>
      <c r="L49" s="5" t="s">
        <v>459</v>
      </c>
      <c r="M49" s="8" t="s">
        <v>1918</v>
      </c>
    </row>
    <row r="50" spans="1:13">
      <c r="A50" t="s">
        <v>975</v>
      </c>
      <c r="B50">
        <v>1</v>
      </c>
      <c r="C50" s="7">
        <v>26</v>
      </c>
      <c r="D50" s="7">
        <v>26</v>
      </c>
      <c r="E50" s="7">
        <v>26</v>
      </c>
      <c r="F50" s="4">
        <v>46220</v>
      </c>
      <c r="G50" s="4">
        <v>46220</v>
      </c>
      <c r="H50" t="s">
        <v>17</v>
      </c>
      <c r="I50" t="s">
        <v>29</v>
      </c>
      <c r="J50" s="8" t="s">
        <v>36</v>
      </c>
      <c r="K50" s="5"/>
      <c r="L50" s="5" t="s">
        <v>974</v>
      </c>
      <c r="M50" s="8" t="s">
        <v>1918</v>
      </c>
    </row>
    <row r="51" spans="1:13">
      <c r="A51" t="s">
        <v>821</v>
      </c>
      <c r="B51">
        <v>1</v>
      </c>
      <c r="C51" s="7">
        <v>24.89</v>
      </c>
      <c r="D51" s="7">
        <v>24.89</v>
      </c>
      <c r="E51" s="7">
        <v>24.89</v>
      </c>
      <c r="F51" s="4">
        <v>46211</v>
      </c>
      <c r="G51" s="4">
        <v>46211</v>
      </c>
      <c r="H51" t="s">
        <v>17</v>
      </c>
      <c r="I51" t="s">
        <v>29</v>
      </c>
      <c r="J51" s="8" t="s">
        <v>36</v>
      </c>
      <c r="K51" s="5"/>
      <c r="L51" s="5" t="s">
        <v>820</v>
      </c>
      <c r="M51" s="8" t="s">
        <v>1918</v>
      </c>
    </row>
    <row r="52" spans="1:13">
      <c r="A52" t="s">
        <v>887</v>
      </c>
      <c r="B52">
        <v>1</v>
      </c>
      <c r="C52" s="7">
        <v>24</v>
      </c>
      <c r="D52" s="7">
        <v>24</v>
      </c>
      <c r="E52" s="7">
        <v>24</v>
      </c>
      <c r="F52" s="4">
        <v>46216</v>
      </c>
      <c r="G52" s="4">
        <v>46216</v>
      </c>
      <c r="H52" t="s">
        <v>17</v>
      </c>
      <c r="I52" t="s">
        <v>29</v>
      </c>
      <c r="J52" s="8" t="s">
        <v>36</v>
      </c>
      <c r="K52" s="5"/>
      <c r="L52" s="5" t="s">
        <v>886</v>
      </c>
      <c r="M52" s="8" t="s">
        <v>1918</v>
      </c>
    </row>
    <row r="53" spans="1:13">
      <c r="A53" t="s">
        <v>483</v>
      </c>
      <c r="B53">
        <v>1</v>
      </c>
      <c r="C53" s="7">
        <v>23</v>
      </c>
      <c r="D53" s="7">
        <v>23</v>
      </c>
      <c r="E53" s="7">
        <v>23</v>
      </c>
      <c r="F53" s="4">
        <v>46196</v>
      </c>
      <c r="G53" s="4">
        <v>46196</v>
      </c>
      <c r="H53" t="s">
        <v>17</v>
      </c>
      <c r="I53" t="s">
        <v>29</v>
      </c>
      <c r="J53" s="8" t="s">
        <v>36</v>
      </c>
      <c r="K53" s="5"/>
      <c r="L53" s="5" t="s">
        <v>481</v>
      </c>
      <c r="M53" s="8" t="s">
        <v>1918</v>
      </c>
    </row>
    <row r="54" spans="1:13">
      <c r="A54" t="s">
        <v>1663</v>
      </c>
      <c r="B54">
        <v>2</v>
      </c>
      <c r="C54" s="7">
        <v>22.35</v>
      </c>
      <c r="D54" s="7">
        <v>11.175</v>
      </c>
      <c r="E54" s="7">
        <v>11.175</v>
      </c>
      <c r="F54" s="4">
        <v>46262</v>
      </c>
      <c r="G54" s="4">
        <v>46262</v>
      </c>
      <c r="H54" t="s">
        <v>17</v>
      </c>
      <c r="I54" t="s">
        <v>29</v>
      </c>
      <c r="J54" s="8" t="s">
        <v>36</v>
      </c>
      <c r="K54" s="5"/>
      <c r="L54" s="5" t="s">
        <v>1662</v>
      </c>
      <c r="M54" s="8" t="s">
        <v>1918</v>
      </c>
    </row>
    <row r="55" spans="1:13">
      <c r="A55" t="s">
        <v>230</v>
      </c>
      <c r="B55">
        <v>1</v>
      </c>
      <c r="C55" s="7">
        <v>22.35</v>
      </c>
      <c r="D55" s="7">
        <v>22.35</v>
      </c>
      <c r="E55" s="7">
        <v>22.35</v>
      </c>
      <c r="F55" s="4">
        <v>46181</v>
      </c>
      <c r="G55" s="4">
        <v>46181</v>
      </c>
      <c r="H55" t="s">
        <v>17</v>
      </c>
      <c r="I55" t="s">
        <v>29</v>
      </c>
      <c r="J55" s="8" t="s">
        <v>36</v>
      </c>
      <c r="K55" s="5"/>
      <c r="L55" s="5" t="s">
        <v>229</v>
      </c>
      <c r="M55" s="8" t="s">
        <v>1918</v>
      </c>
    </row>
    <row r="56" spans="1:13">
      <c r="A56" t="s">
        <v>688</v>
      </c>
      <c r="B56">
        <v>1</v>
      </c>
      <c r="C56" s="7">
        <v>22.21</v>
      </c>
      <c r="D56" s="7">
        <v>22.21</v>
      </c>
      <c r="E56" s="7">
        <v>22.21</v>
      </c>
      <c r="F56" s="4">
        <v>46204</v>
      </c>
      <c r="G56" s="4">
        <v>46204</v>
      </c>
      <c r="H56" t="s">
        <v>17</v>
      </c>
      <c r="I56" t="s">
        <v>29</v>
      </c>
      <c r="J56" s="8" t="s">
        <v>36</v>
      </c>
      <c r="K56" s="5"/>
      <c r="L56" s="5" t="s">
        <v>687</v>
      </c>
      <c r="M56" s="8" t="s">
        <v>1918</v>
      </c>
    </row>
    <row r="57" spans="1:13">
      <c r="A57" t="s">
        <v>1041</v>
      </c>
      <c r="B57">
        <v>1</v>
      </c>
      <c r="C57" s="7">
        <v>22.16</v>
      </c>
      <c r="D57" s="7">
        <v>22.16</v>
      </c>
      <c r="E57" s="7">
        <v>22.16</v>
      </c>
      <c r="F57" s="4">
        <v>46225</v>
      </c>
      <c r="G57" s="4">
        <v>46225</v>
      </c>
      <c r="H57" t="s">
        <v>17</v>
      </c>
      <c r="I57" t="s">
        <v>29</v>
      </c>
      <c r="J57" s="8" t="s">
        <v>36</v>
      </c>
      <c r="K57" s="5"/>
      <c r="L57" s="5" t="s">
        <v>1040</v>
      </c>
      <c r="M57" s="8" t="s">
        <v>1918</v>
      </c>
    </row>
    <row r="58" spans="1:13">
      <c r="A58" t="s">
        <v>1397</v>
      </c>
      <c r="B58">
        <v>2</v>
      </c>
      <c r="C58" s="7">
        <v>22</v>
      </c>
      <c r="D58" s="7">
        <v>11</v>
      </c>
      <c r="E58" s="7">
        <v>11</v>
      </c>
      <c r="F58" s="4">
        <v>46245</v>
      </c>
      <c r="G58" s="4">
        <v>46245</v>
      </c>
      <c r="H58" t="s">
        <v>17</v>
      </c>
      <c r="I58" t="s">
        <v>29</v>
      </c>
      <c r="J58" s="8" t="s">
        <v>36</v>
      </c>
      <c r="K58" s="5"/>
      <c r="L58" s="5" t="s">
        <v>1396</v>
      </c>
      <c r="M58" s="8" t="s">
        <v>1918</v>
      </c>
    </row>
    <row r="59" spans="1:13">
      <c r="A59" t="s">
        <v>1430</v>
      </c>
      <c r="B59">
        <v>1</v>
      </c>
      <c r="C59" s="7">
        <v>21.5</v>
      </c>
      <c r="D59" s="7">
        <v>21.5</v>
      </c>
      <c r="E59" s="7">
        <v>21.5</v>
      </c>
      <c r="F59" s="4">
        <v>46248</v>
      </c>
      <c r="G59" s="4">
        <v>46248</v>
      </c>
      <c r="H59" t="s">
        <v>17</v>
      </c>
      <c r="I59" t="s">
        <v>29</v>
      </c>
      <c r="J59" s="8" t="s">
        <v>36</v>
      </c>
      <c r="K59" s="5"/>
      <c r="L59" s="5" t="s">
        <v>1429</v>
      </c>
      <c r="M59" s="8" t="s">
        <v>1918</v>
      </c>
    </row>
    <row r="60" spans="1:13">
      <c r="A60" t="s">
        <v>742</v>
      </c>
      <c r="B60">
        <v>4</v>
      </c>
      <c r="C60" s="7">
        <v>20.4</v>
      </c>
      <c r="D60" s="7">
        <v>4.2</v>
      </c>
      <c r="E60" s="7">
        <v>5.100000000000001</v>
      </c>
      <c r="F60" s="4">
        <v>46208</v>
      </c>
      <c r="G60" s="4">
        <v>46259</v>
      </c>
      <c r="H60" t="s">
        <v>17</v>
      </c>
      <c r="I60" t="s">
        <v>29</v>
      </c>
      <c r="J60" s="8" t="s">
        <v>36</v>
      </c>
      <c r="K60" s="5"/>
      <c r="L60" s="5" t="s">
        <v>742</v>
      </c>
      <c r="M60" s="8" t="s">
        <v>1918</v>
      </c>
    </row>
    <row r="61" spans="1:13">
      <c r="A61" t="s">
        <v>1608</v>
      </c>
      <c r="B61">
        <v>1</v>
      </c>
      <c r="C61" s="7">
        <v>20.2</v>
      </c>
      <c r="D61" s="7">
        <v>20.2</v>
      </c>
      <c r="E61" s="7">
        <v>20.2</v>
      </c>
      <c r="F61" s="4">
        <v>46259</v>
      </c>
      <c r="G61" s="4">
        <v>46259</v>
      </c>
      <c r="H61" t="s">
        <v>17</v>
      </c>
      <c r="I61" t="s">
        <v>29</v>
      </c>
      <c r="J61" s="8" t="s">
        <v>36</v>
      </c>
      <c r="K61" s="5"/>
      <c r="L61" s="5" t="s">
        <v>1607</v>
      </c>
      <c r="M61" s="8" t="s">
        <v>1918</v>
      </c>
    </row>
    <row r="62" spans="1:13">
      <c r="A62" t="s">
        <v>454</v>
      </c>
      <c r="B62">
        <v>1</v>
      </c>
      <c r="C62" s="7">
        <v>20</v>
      </c>
      <c r="D62" s="7">
        <v>20</v>
      </c>
      <c r="E62" s="7">
        <v>20</v>
      </c>
      <c r="F62" s="4">
        <v>46193</v>
      </c>
      <c r="G62" s="4">
        <v>46193</v>
      </c>
      <c r="H62" t="s">
        <v>17</v>
      </c>
      <c r="I62" t="s">
        <v>29</v>
      </c>
      <c r="J62" s="8" t="s">
        <v>36</v>
      </c>
      <c r="K62" s="5"/>
      <c r="L62" s="5" t="s">
        <v>453</v>
      </c>
      <c r="M62" s="8" t="s">
        <v>1918</v>
      </c>
    </row>
    <row r="63" spans="1:13">
      <c r="A63" t="s">
        <v>253</v>
      </c>
      <c r="B63">
        <v>1</v>
      </c>
      <c r="C63" s="7">
        <v>19.5</v>
      </c>
      <c r="D63" s="7">
        <v>19.5</v>
      </c>
      <c r="E63" s="7">
        <v>19.5</v>
      </c>
      <c r="F63" s="4">
        <v>46182</v>
      </c>
      <c r="G63" s="4">
        <v>46182</v>
      </c>
      <c r="H63" t="s">
        <v>17</v>
      </c>
      <c r="I63" t="s">
        <v>29</v>
      </c>
      <c r="J63" s="8" t="s">
        <v>36</v>
      </c>
      <c r="K63" s="5"/>
      <c r="L63" s="5" t="s">
        <v>252</v>
      </c>
      <c r="M63" s="8" t="s">
        <v>1918</v>
      </c>
    </row>
    <row r="64" spans="1:13">
      <c r="A64" t="s">
        <v>542</v>
      </c>
      <c r="B64">
        <v>1</v>
      </c>
      <c r="C64" s="7">
        <v>19.06</v>
      </c>
      <c r="D64" s="7">
        <v>19.06</v>
      </c>
      <c r="E64" s="7">
        <v>19.06</v>
      </c>
      <c r="F64" s="4">
        <v>46197</v>
      </c>
      <c r="G64" s="4">
        <v>46197</v>
      </c>
      <c r="H64" t="s">
        <v>17</v>
      </c>
      <c r="I64" t="s">
        <v>29</v>
      </c>
      <c r="J64" s="8" t="s">
        <v>36</v>
      </c>
      <c r="K64" s="5"/>
      <c r="L64" s="5" t="s">
        <v>541</v>
      </c>
      <c r="M64" s="8" t="s">
        <v>1918</v>
      </c>
    </row>
    <row r="65" spans="1:13">
      <c r="A65" t="s">
        <v>1542</v>
      </c>
      <c r="B65">
        <v>1</v>
      </c>
      <c r="C65" s="7">
        <v>18.9</v>
      </c>
      <c r="D65" s="7">
        <v>18.9</v>
      </c>
      <c r="E65" s="7">
        <v>18.9</v>
      </c>
      <c r="F65" s="4">
        <v>46255</v>
      </c>
      <c r="G65" s="4">
        <v>46255</v>
      </c>
      <c r="H65" t="s">
        <v>17</v>
      </c>
      <c r="I65" t="s">
        <v>29</v>
      </c>
      <c r="J65" s="8" t="s">
        <v>36</v>
      </c>
      <c r="K65" s="5"/>
      <c r="L65" s="5" t="s">
        <v>1540</v>
      </c>
      <c r="M65" s="8" t="s">
        <v>1918</v>
      </c>
    </row>
    <row r="66" spans="1:13">
      <c r="A66" t="s">
        <v>498</v>
      </c>
      <c r="B66">
        <v>1</v>
      </c>
      <c r="C66" s="7">
        <v>18.71</v>
      </c>
      <c r="D66" s="7">
        <v>18.71</v>
      </c>
      <c r="E66" s="7">
        <v>18.71</v>
      </c>
      <c r="F66" s="4">
        <v>46196</v>
      </c>
      <c r="G66" s="4">
        <v>46196</v>
      </c>
      <c r="H66" t="s">
        <v>17</v>
      </c>
      <c r="I66" t="s">
        <v>29</v>
      </c>
      <c r="J66" s="8" t="s">
        <v>36</v>
      </c>
      <c r="K66" s="5"/>
      <c r="L66" s="5" t="s">
        <v>497</v>
      </c>
      <c r="M66" s="8" t="s">
        <v>1918</v>
      </c>
    </row>
    <row r="67" spans="1:13">
      <c r="A67" t="s">
        <v>1782</v>
      </c>
      <c r="B67">
        <v>1</v>
      </c>
      <c r="C67" s="7">
        <v>18.2</v>
      </c>
      <c r="D67" s="7">
        <v>18.2</v>
      </c>
      <c r="E67" s="7">
        <v>18.2</v>
      </c>
      <c r="F67" s="4">
        <v>46269</v>
      </c>
      <c r="G67" s="4">
        <v>46269</v>
      </c>
      <c r="H67" t="s">
        <v>17</v>
      </c>
      <c r="I67" t="s">
        <v>29</v>
      </c>
      <c r="J67" s="8" t="s">
        <v>36</v>
      </c>
      <c r="K67" s="5"/>
      <c r="L67" s="5" t="s">
        <v>1780</v>
      </c>
      <c r="M67" s="8" t="s">
        <v>1918</v>
      </c>
    </row>
    <row r="68" spans="1:13">
      <c r="A68" t="s">
        <v>839</v>
      </c>
      <c r="B68">
        <v>3</v>
      </c>
      <c r="C68" s="7">
        <v>17.4</v>
      </c>
      <c r="D68" s="7">
        <v>4.35</v>
      </c>
      <c r="E68" s="7">
        <v>5.8</v>
      </c>
      <c r="F68" s="4">
        <v>46212</v>
      </c>
      <c r="G68" s="4">
        <v>46217</v>
      </c>
      <c r="H68" t="s">
        <v>17</v>
      </c>
      <c r="I68" t="s">
        <v>29</v>
      </c>
      <c r="J68" s="8" t="s">
        <v>36</v>
      </c>
      <c r="K68" s="5"/>
      <c r="L68" s="5" t="s">
        <v>838</v>
      </c>
      <c r="M68" s="8" t="s">
        <v>1918</v>
      </c>
    </row>
    <row r="69" spans="1:13">
      <c r="A69" t="s">
        <v>1836</v>
      </c>
      <c r="B69">
        <v>1</v>
      </c>
      <c r="C69" s="7">
        <v>17.2</v>
      </c>
      <c r="D69" s="7">
        <v>17.2</v>
      </c>
      <c r="E69" s="7">
        <v>17.2</v>
      </c>
      <c r="F69" s="4">
        <v>46273</v>
      </c>
      <c r="G69" s="4">
        <v>46273</v>
      </c>
      <c r="H69" t="s">
        <v>17</v>
      </c>
      <c r="I69" t="s">
        <v>29</v>
      </c>
      <c r="J69" s="8" t="s">
        <v>36</v>
      </c>
      <c r="K69" s="5"/>
      <c r="L69" s="5" t="s">
        <v>1835</v>
      </c>
      <c r="M69" s="8" t="s">
        <v>1918</v>
      </c>
    </row>
    <row r="70" spans="1:13">
      <c r="A70" t="s">
        <v>1056</v>
      </c>
      <c r="B70">
        <v>1</v>
      </c>
      <c r="C70" s="7">
        <v>15.5</v>
      </c>
      <c r="D70" s="7">
        <v>15.5</v>
      </c>
      <c r="E70" s="7">
        <v>15.5</v>
      </c>
      <c r="F70" s="4">
        <v>46226</v>
      </c>
      <c r="G70" s="4">
        <v>46226</v>
      </c>
      <c r="H70" t="s">
        <v>17</v>
      </c>
      <c r="I70" t="s">
        <v>29</v>
      </c>
      <c r="J70" s="8" t="s">
        <v>36</v>
      </c>
      <c r="K70" s="5"/>
      <c r="L70" s="5" t="s">
        <v>1055</v>
      </c>
      <c r="M70" s="8" t="s">
        <v>1918</v>
      </c>
    </row>
    <row r="71" spans="1:13">
      <c r="A71" t="s">
        <v>1452</v>
      </c>
      <c r="B71">
        <v>1</v>
      </c>
      <c r="C71" s="7">
        <v>15.25</v>
      </c>
      <c r="D71" s="7">
        <v>15.25</v>
      </c>
      <c r="E71" s="7">
        <v>15.25</v>
      </c>
      <c r="F71" s="4">
        <v>46249</v>
      </c>
      <c r="G71" s="4">
        <v>46249</v>
      </c>
      <c r="H71" t="s">
        <v>17</v>
      </c>
      <c r="I71" t="s">
        <v>29</v>
      </c>
      <c r="J71" s="8" t="s">
        <v>36</v>
      </c>
      <c r="K71" s="5"/>
      <c r="L71" s="5" t="s">
        <v>1451</v>
      </c>
      <c r="M71" s="8" t="s">
        <v>1918</v>
      </c>
    </row>
    <row r="72" spans="1:13">
      <c r="A72" t="s">
        <v>438</v>
      </c>
      <c r="B72">
        <v>3</v>
      </c>
      <c r="C72" s="7">
        <v>15.24</v>
      </c>
      <c r="D72" s="7">
        <v>5.08</v>
      </c>
      <c r="E72" s="7">
        <v>5.08</v>
      </c>
      <c r="F72" s="4">
        <v>46193</v>
      </c>
      <c r="G72" s="4">
        <v>46238</v>
      </c>
      <c r="H72" t="s">
        <v>17</v>
      </c>
      <c r="I72" t="s">
        <v>29</v>
      </c>
      <c r="J72" s="8" t="s">
        <v>36</v>
      </c>
      <c r="K72" s="5"/>
      <c r="L72" s="5" t="s">
        <v>436</v>
      </c>
      <c r="M72" s="8" t="s">
        <v>1918</v>
      </c>
    </row>
    <row r="73" spans="1:13">
      <c r="A73" t="s">
        <v>1755</v>
      </c>
      <c r="B73">
        <v>1</v>
      </c>
      <c r="C73" s="7">
        <v>15</v>
      </c>
      <c r="D73" s="7">
        <v>15</v>
      </c>
      <c r="E73" s="7">
        <v>15</v>
      </c>
      <c r="F73" s="4">
        <v>46267</v>
      </c>
      <c r="G73" s="4">
        <v>46267</v>
      </c>
      <c r="H73" t="s">
        <v>17</v>
      </c>
      <c r="I73" t="s">
        <v>29</v>
      </c>
      <c r="J73" s="8" t="s">
        <v>36</v>
      </c>
      <c r="K73" s="5"/>
      <c r="L73" s="5" t="s">
        <v>1755</v>
      </c>
      <c r="M73" s="8" t="s">
        <v>1918</v>
      </c>
    </row>
    <row r="74" spans="1:13">
      <c r="A74" t="s">
        <v>664</v>
      </c>
      <c r="B74">
        <v>2</v>
      </c>
      <c r="C74" s="7">
        <v>14.5</v>
      </c>
      <c r="D74" s="7">
        <v>7.25</v>
      </c>
      <c r="E74" s="7">
        <v>7.25</v>
      </c>
      <c r="F74" s="4">
        <v>46203</v>
      </c>
      <c r="G74" s="4">
        <v>46203</v>
      </c>
      <c r="H74" t="s">
        <v>17</v>
      </c>
      <c r="I74" t="s">
        <v>29</v>
      </c>
      <c r="J74" s="8" t="s">
        <v>36</v>
      </c>
      <c r="K74" s="5"/>
      <c r="L74" s="5" t="s">
        <v>663</v>
      </c>
      <c r="M74" s="8" t="s">
        <v>1918</v>
      </c>
    </row>
    <row r="75" spans="1:13">
      <c r="A75" t="s">
        <v>1722</v>
      </c>
      <c r="B75">
        <v>1</v>
      </c>
      <c r="C75" s="7">
        <v>14.18</v>
      </c>
      <c r="D75" s="7">
        <v>14.18</v>
      </c>
      <c r="E75" s="7">
        <v>14.18</v>
      </c>
      <c r="F75" s="4">
        <v>46266</v>
      </c>
      <c r="G75" s="4">
        <v>46266</v>
      </c>
      <c r="H75" t="s">
        <v>17</v>
      </c>
      <c r="I75" t="s">
        <v>29</v>
      </c>
      <c r="J75" s="8" t="s">
        <v>36</v>
      </c>
      <c r="K75" s="5"/>
      <c r="L75" s="5" t="s">
        <v>1721</v>
      </c>
      <c r="M75" s="8" t="s">
        <v>1918</v>
      </c>
    </row>
    <row r="76" spans="1:13">
      <c r="A76" t="s">
        <v>1862</v>
      </c>
      <c r="B76">
        <v>1</v>
      </c>
      <c r="C76" s="7">
        <v>13.9</v>
      </c>
      <c r="D76" s="7">
        <v>13.9</v>
      </c>
      <c r="E76" s="7">
        <v>13.9</v>
      </c>
      <c r="F76" s="4">
        <v>46273</v>
      </c>
      <c r="G76" s="4">
        <v>46273</v>
      </c>
      <c r="H76" t="s">
        <v>17</v>
      </c>
      <c r="I76" t="s">
        <v>29</v>
      </c>
      <c r="J76" s="8" t="s">
        <v>36</v>
      </c>
      <c r="K76" s="5"/>
      <c r="L76" s="5" t="s">
        <v>1861</v>
      </c>
      <c r="M76" s="8" t="s">
        <v>1918</v>
      </c>
    </row>
    <row r="77" spans="1:13">
      <c r="A77" t="s">
        <v>1687</v>
      </c>
      <c r="B77">
        <v>1</v>
      </c>
      <c r="C77" s="7">
        <v>13.21</v>
      </c>
      <c r="D77" s="7">
        <v>13.21</v>
      </c>
      <c r="E77" s="7">
        <v>13.21</v>
      </c>
      <c r="F77" s="4">
        <v>46263</v>
      </c>
      <c r="G77" s="4">
        <v>46263</v>
      </c>
      <c r="H77" t="s">
        <v>17</v>
      </c>
      <c r="I77" t="s">
        <v>29</v>
      </c>
      <c r="J77" s="8" t="s">
        <v>36</v>
      </c>
      <c r="K77" s="5"/>
      <c r="L77" s="5" t="s">
        <v>1686</v>
      </c>
      <c r="M77" s="8" t="s">
        <v>1918</v>
      </c>
    </row>
    <row r="78" spans="1:13">
      <c r="A78" t="s">
        <v>154</v>
      </c>
      <c r="B78">
        <v>3</v>
      </c>
      <c r="C78" s="7">
        <v>13.18</v>
      </c>
      <c r="D78" s="7">
        <v>3.55</v>
      </c>
      <c r="E78" s="7">
        <v>4.393333333333334</v>
      </c>
      <c r="F78" s="4">
        <v>46177</v>
      </c>
      <c r="G78" s="4">
        <v>46256</v>
      </c>
      <c r="H78" t="s">
        <v>17</v>
      </c>
      <c r="I78" t="s">
        <v>29</v>
      </c>
      <c r="J78" s="8" t="s">
        <v>36</v>
      </c>
      <c r="K78" s="5"/>
      <c r="L78" s="5" t="s">
        <v>153</v>
      </c>
      <c r="M78" s="8" t="s">
        <v>1918</v>
      </c>
    </row>
    <row r="79" spans="1:13">
      <c r="A79" t="s">
        <v>739</v>
      </c>
      <c r="B79">
        <v>1</v>
      </c>
      <c r="C79" s="7">
        <v>12</v>
      </c>
      <c r="D79" s="7">
        <v>12</v>
      </c>
      <c r="E79" s="7">
        <v>12</v>
      </c>
      <c r="F79" s="4">
        <v>46207</v>
      </c>
      <c r="G79" s="4">
        <v>46207</v>
      </c>
      <c r="H79" t="s">
        <v>17</v>
      </c>
      <c r="I79" t="s">
        <v>29</v>
      </c>
      <c r="J79" s="8" t="s">
        <v>36</v>
      </c>
      <c r="K79" s="5"/>
      <c r="L79" s="5" t="s">
        <v>739</v>
      </c>
      <c r="M79" s="8" t="s">
        <v>1918</v>
      </c>
    </row>
    <row r="80" spans="1:13">
      <c r="A80" t="s">
        <v>1572</v>
      </c>
      <c r="B80">
        <v>1</v>
      </c>
      <c r="C80" s="7">
        <v>12</v>
      </c>
      <c r="D80" s="7">
        <v>12</v>
      </c>
      <c r="E80" s="7">
        <v>12</v>
      </c>
      <c r="F80" s="4">
        <v>46257</v>
      </c>
      <c r="G80" s="4">
        <v>46257</v>
      </c>
      <c r="H80" t="s">
        <v>17</v>
      </c>
      <c r="I80" t="s">
        <v>29</v>
      </c>
      <c r="J80" s="8" t="s">
        <v>36</v>
      </c>
      <c r="K80" s="5"/>
      <c r="L80" s="5" t="s">
        <v>1571</v>
      </c>
      <c r="M80" s="8" t="s">
        <v>1918</v>
      </c>
    </row>
    <row r="81" spans="1:13">
      <c r="A81" t="s">
        <v>1523</v>
      </c>
      <c r="B81">
        <v>1</v>
      </c>
      <c r="C81" s="7">
        <v>11.75</v>
      </c>
      <c r="D81" s="7">
        <v>11.75</v>
      </c>
      <c r="E81" s="7">
        <v>11.75</v>
      </c>
      <c r="F81" s="4">
        <v>46253</v>
      </c>
      <c r="G81" s="4">
        <v>46253</v>
      </c>
      <c r="H81" t="s">
        <v>17</v>
      </c>
      <c r="I81" t="s">
        <v>29</v>
      </c>
      <c r="J81" s="8" t="s">
        <v>36</v>
      </c>
      <c r="K81" s="5"/>
      <c r="L81" s="5" t="s">
        <v>1523</v>
      </c>
      <c r="M81" s="8" t="s">
        <v>1918</v>
      </c>
    </row>
    <row r="82" spans="1:13">
      <c r="A82" t="s">
        <v>1059</v>
      </c>
      <c r="B82">
        <v>1</v>
      </c>
      <c r="C82" s="7">
        <v>11.51</v>
      </c>
      <c r="D82" s="7">
        <v>11.51</v>
      </c>
      <c r="E82" s="7">
        <v>11.51</v>
      </c>
      <c r="F82" s="4">
        <v>46226</v>
      </c>
      <c r="G82" s="4">
        <v>46226</v>
      </c>
      <c r="H82" t="s">
        <v>17</v>
      </c>
      <c r="I82" t="s">
        <v>29</v>
      </c>
      <c r="J82" s="8" t="s">
        <v>36</v>
      </c>
      <c r="K82" s="5"/>
      <c r="L82" s="5" t="s">
        <v>1058</v>
      </c>
      <c r="M82" s="8" t="s">
        <v>1918</v>
      </c>
    </row>
    <row r="83" spans="1:13">
      <c r="A83" t="s">
        <v>588</v>
      </c>
      <c r="B83">
        <v>1</v>
      </c>
      <c r="C83" s="7">
        <v>11.38</v>
      </c>
      <c r="D83" s="7">
        <v>11.38</v>
      </c>
      <c r="E83" s="7">
        <v>11.38</v>
      </c>
      <c r="F83" s="4">
        <v>46198</v>
      </c>
      <c r="G83" s="4">
        <v>46198</v>
      </c>
      <c r="H83" t="s">
        <v>17</v>
      </c>
      <c r="I83" t="s">
        <v>29</v>
      </c>
      <c r="J83" s="8" t="s">
        <v>36</v>
      </c>
      <c r="K83" s="5"/>
      <c r="L83" s="5" t="s">
        <v>587</v>
      </c>
      <c r="M83" s="8" t="s">
        <v>1918</v>
      </c>
    </row>
    <row r="84" spans="1:13">
      <c r="A84" t="s">
        <v>169</v>
      </c>
      <c r="B84">
        <v>1</v>
      </c>
      <c r="C84" s="7">
        <v>11.18</v>
      </c>
      <c r="D84" s="7">
        <v>11.18</v>
      </c>
      <c r="E84" s="7">
        <v>11.18</v>
      </c>
      <c r="F84" s="4">
        <v>46177</v>
      </c>
      <c r="G84" s="4">
        <v>46177</v>
      </c>
      <c r="H84" t="s">
        <v>17</v>
      </c>
      <c r="I84" t="s">
        <v>29</v>
      </c>
      <c r="J84" s="8" t="s">
        <v>36</v>
      </c>
      <c r="K84" s="5"/>
      <c r="L84" s="5" t="s">
        <v>168</v>
      </c>
      <c r="M84" s="8" t="s">
        <v>1918</v>
      </c>
    </row>
    <row r="85" spans="1:13">
      <c r="A85" t="s">
        <v>1859</v>
      </c>
      <c r="B85">
        <v>1</v>
      </c>
      <c r="C85" s="7">
        <v>10.2</v>
      </c>
      <c r="D85" s="7">
        <v>10.2</v>
      </c>
      <c r="E85" s="7">
        <v>10.2</v>
      </c>
      <c r="F85" s="4">
        <v>46273</v>
      </c>
      <c r="G85" s="4">
        <v>46273</v>
      </c>
      <c r="H85" t="s">
        <v>17</v>
      </c>
      <c r="I85" t="s">
        <v>29</v>
      </c>
      <c r="J85" s="8" t="s">
        <v>36</v>
      </c>
      <c r="K85" s="5"/>
      <c r="L85" s="5" t="s">
        <v>1858</v>
      </c>
      <c r="M85" s="8" t="s">
        <v>1918</v>
      </c>
    </row>
    <row r="86" spans="1:13">
      <c r="A86" t="s">
        <v>1205</v>
      </c>
      <c r="B86">
        <v>1</v>
      </c>
      <c r="C86" s="7">
        <v>10.15</v>
      </c>
      <c r="D86" s="7">
        <v>10.15</v>
      </c>
      <c r="E86" s="7">
        <v>10.15</v>
      </c>
      <c r="F86" s="4">
        <v>46234</v>
      </c>
      <c r="G86" s="4">
        <v>46234</v>
      </c>
      <c r="H86" t="s">
        <v>17</v>
      </c>
      <c r="I86" t="s">
        <v>29</v>
      </c>
      <c r="J86" s="8" t="s">
        <v>36</v>
      </c>
      <c r="K86" s="5"/>
      <c r="L86" s="5" t="s">
        <v>1204</v>
      </c>
      <c r="M86" s="8" t="s">
        <v>1918</v>
      </c>
    </row>
    <row r="87" spans="1:13">
      <c r="A87" t="s">
        <v>627</v>
      </c>
      <c r="B87">
        <v>1</v>
      </c>
      <c r="C87" s="7">
        <v>10.14</v>
      </c>
      <c r="D87" s="7">
        <v>10.14</v>
      </c>
      <c r="E87" s="7">
        <v>10.14</v>
      </c>
      <c r="F87" s="4">
        <v>46200</v>
      </c>
      <c r="G87" s="4">
        <v>46200</v>
      </c>
      <c r="H87" t="s">
        <v>17</v>
      </c>
      <c r="I87" t="s">
        <v>29</v>
      </c>
      <c r="J87" s="8" t="s">
        <v>36</v>
      </c>
      <c r="K87" s="5"/>
      <c r="L87" s="5" t="s">
        <v>626</v>
      </c>
      <c r="M87" s="8" t="s">
        <v>1918</v>
      </c>
    </row>
    <row r="88" spans="1:13">
      <c r="A88" t="s">
        <v>457</v>
      </c>
      <c r="B88">
        <v>1</v>
      </c>
      <c r="C88" s="7">
        <v>9.65</v>
      </c>
      <c r="D88" s="7">
        <v>9.65</v>
      </c>
      <c r="E88" s="7">
        <v>9.65</v>
      </c>
      <c r="F88" s="4">
        <v>46193</v>
      </c>
      <c r="G88" s="4">
        <v>46193</v>
      </c>
      <c r="H88" t="s">
        <v>17</v>
      </c>
      <c r="I88" t="s">
        <v>29</v>
      </c>
      <c r="J88" s="8" t="s">
        <v>36</v>
      </c>
      <c r="K88" s="5"/>
      <c r="L88" s="5" t="s">
        <v>456</v>
      </c>
      <c r="M88" s="8" t="s">
        <v>1918</v>
      </c>
    </row>
    <row r="89" spans="1:13">
      <c r="A89" t="s">
        <v>471</v>
      </c>
      <c r="B89">
        <v>1</v>
      </c>
      <c r="C89" s="7">
        <v>9.640000000000001</v>
      </c>
      <c r="D89" s="7">
        <v>9.640000000000001</v>
      </c>
      <c r="E89" s="7">
        <v>9.640000000000001</v>
      </c>
      <c r="F89" s="4">
        <v>46195</v>
      </c>
      <c r="G89" s="4">
        <v>46195</v>
      </c>
      <c r="H89" t="s">
        <v>17</v>
      </c>
      <c r="I89" t="s">
        <v>29</v>
      </c>
      <c r="J89" s="8" t="s">
        <v>36</v>
      </c>
      <c r="K89" s="5"/>
      <c r="L89" s="5" t="s">
        <v>470</v>
      </c>
      <c r="M89" s="8" t="s">
        <v>1918</v>
      </c>
    </row>
    <row r="90" spans="1:13">
      <c r="A90" t="s">
        <v>716</v>
      </c>
      <c r="B90">
        <v>1</v>
      </c>
      <c r="C90" s="7">
        <v>9.5</v>
      </c>
      <c r="D90" s="7">
        <v>9.5</v>
      </c>
      <c r="E90" s="7">
        <v>9.5</v>
      </c>
      <c r="F90" s="4">
        <v>46206</v>
      </c>
      <c r="G90" s="4">
        <v>46206</v>
      </c>
      <c r="H90" t="s">
        <v>17</v>
      </c>
      <c r="I90" t="s">
        <v>29</v>
      </c>
      <c r="J90" s="8" t="s">
        <v>36</v>
      </c>
      <c r="K90" s="5"/>
      <c r="L90" s="5" t="s">
        <v>715</v>
      </c>
      <c r="M90" s="8" t="s">
        <v>1918</v>
      </c>
    </row>
    <row r="91" spans="1:13">
      <c r="A91" t="s">
        <v>1849</v>
      </c>
      <c r="B91">
        <v>1</v>
      </c>
      <c r="C91" s="7">
        <v>9.140000000000001</v>
      </c>
      <c r="D91" s="7">
        <v>9.140000000000001</v>
      </c>
      <c r="E91" s="7">
        <v>9.140000000000001</v>
      </c>
      <c r="F91" s="4">
        <v>46273</v>
      </c>
      <c r="G91" s="4">
        <v>46273</v>
      </c>
      <c r="H91" t="s">
        <v>17</v>
      </c>
      <c r="I91" t="s">
        <v>29</v>
      </c>
      <c r="J91" s="8" t="s">
        <v>36</v>
      </c>
      <c r="K91" s="5"/>
      <c r="L91" s="5" t="s">
        <v>1848</v>
      </c>
      <c r="M91" s="8" t="s">
        <v>1918</v>
      </c>
    </row>
    <row r="92" spans="1:13">
      <c r="A92" t="s">
        <v>1491</v>
      </c>
      <c r="B92">
        <v>1</v>
      </c>
      <c r="C92" s="7">
        <v>9.1</v>
      </c>
      <c r="D92" s="7">
        <v>9.1</v>
      </c>
      <c r="E92" s="7">
        <v>9.1</v>
      </c>
      <c r="F92" s="4">
        <v>46252</v>
      </c>
      <c r="G92" s="4">
        <v>46252</v>
      </c>
      <c r="H92" t="s">
        <v>17</v>
      </c>
      <c r="I92" t="s">
        <v>29</v>
      </c>
      <c r="J92" s="8" t="s">
        <v>36</v>
      </c>
      <c r="K92" s="5"/>
      <c r="L92" s="5" t="s">
        <v>1490</v>
      </c>
      <c r="M92" s="8" t="s">
        <v>1918</v>
      </c>
    </row>
    <row r="93" spans="1:13">
      <c r="A93" t="s">
        <v>1339</v>
      </c>
      <c r="B93">
        <v>1</v>
      </c>
      <c r="C93" s="7">
        <v>9</v>
      </c>
      <c r="D93" s="7">
        <v>9</v>
      </c>
      <c r="E93" s="7">
        <v>9</v>
      </c>
      <c r="F93" s="4">
        <v>46242</v>
      </c>
      <c r="G93" s="4">
        <v>46242</v>
      </c>
      <c r="H93" t="s">
        <v>17</v>
      </c>
      <c r="I93" t="s">
        <v>29</v>
      </c>
      <c r="J93" s="8" t="s">
        <v>36</v>
      </c>
      <c r="K93" s="5"/>
      <c r="L93" s="5" t="s">
        <v>1338</v>
      </c>
      <c r="M93" s="8" t="s">
        <v>1918</v>
      </c>
    </row>
    <row r="94" spans="1:13">
      <c r="A94" t="s">
        <v>553</v>
      </c>
      <c r="B94">
        <v>1</v>
      </c>
      <c r="C94" s="7">
        <v>8.67</v>
      </c>
      <c r="D94" s="7">
        <v>8.67</v>
      </c>
      <c r="E94" s="7">
        <v>8.67</v>
      </c>
      <c r="F94" s="4">
        <v>46197</v>
      </c>
      <c r="G94" s="4">
        <v>46197</v>
      </c>
      <c r="H94" t="s">
        <v>17</v>
      </c>
      <c r="I94" t="s">
        <v>29</v>
      </c>
      <c r="J94" s="8" t="s">
        <v>36</v>
      </c>
      <c r="K94" s="5"/>
      <c r="L94" s="5" t="s">
        <v>552</v>
      </c>
      <c r="M94" s="8" t="s">
        <v>1918</v>
      </c>
    </row>
    <row r="95" spans="1:13">
      <c r="A95" t="s">
        <v>1852</v>
      </c>
      <c r="B95">
        <v>1</v>
      </c>
      <c r="C95" s="7">
        <v>8.130000000000001</v>
      </c>
      <c r="D95" s="7">
        <v>8.130000000000001</v>
      </c>
      <c r="E95" s="7">
        <v>8.130000000000001</v>
      </c>
      <c r="F95" s="4">
        <v>46273</v>
      </c>
      <c r="G95" s="4">
        <v>46273</v>
      </c>
      <c r="H95" t="s">
        <v>17</v>
      </c>
      <c r="I95" t="s">
        <v>29</v>
      </c>
      <c r="J95" s="8" t="s">
        <v>36</v>
      </c>
      <c r="K95" s="5"/>
      <c r="L95" s="5" t="s">
        <v>1851</v>
      </c>
      <c r="M95" s="8" t="s">
        <v>1918</v>
      </c>
    </row>
    <row r="96" spans="1:13">
      <c r="A96" t="s">
        <v>217</v>
      </c>
      <c r="B96">
        <v>1</v>
      </c>
      <c r="C96" s="7">
        <v>8.050000000000001</v>
      </c>
      <c r="D96" s="7">
        <v>8.050000000000001</v>
      </c>
      <c r="E96" s="7">
        <v>8.050000000000001</v>
      </c>
      <c r="F96" s="4">
        <v>46179</v>
      </c>
      <c r="G96" s="4">
        <v>46179</v>
      </c>
      <c r="H96" t="s">
        <v>17</v>
      </c>
      <c r="I96" t="s">
        <v>29</v>
      </c>
      <c r="J96" s="8" t="s">
        <v>36</v>
      </c>
      <c r="K96" s="5"/>
      <c r="L96" s="5" t="s">
        <v>216</v>
      </c>
      <c r="M96" s="8" t="s">
        <v>1918</v>
      </c>
    </row>
    <row r="97" spans="1:13">
      <c r="A97" t="s">
        <v>1684</v>
      </c>
      <c r="B97">
        <v>1</v>
      </c>
      <c r="C97" s="7">
        <v>8</v>
      </c>
      <c r="D97" s="7">
        <v>8</v>
      </c>
      <c r="E97" s="7">
        <v>8</v>
      </c>
      <c r="F97" s="4">
        <v>46263</v>
      </c>
      <c r="G97" s="4">
        <v>46263</v>
      </c>
      <c r="H97" t="s">
        <v>17</v>
      </c>
      <c r="I97" t="s">
        <v>29</v>
      </c>
      <c r="J97" s="8" t="s">
        <v>36</v>
      </c>
      <c r="K97" s="5"/>
      <c r="L97" s="5" t="s">
        <v>1683</v>
      </c>
      <c r="M97" s="8" t="s">
        <v>1918</v>
      </c>
    </row>
    <row r="98" spans="1:13">
      <c r="A98" t="s">
        <v>1690</v>
      </c>
      <c r="B98">
        <v>1</v>
      </c>
      <c r="C98" s="7">
        <v>8</v>
      </c>
      <c r="D98" s="7">
        <v>8</v>
      </c>
      <c r="E98" s="7">
        <v>8</v>
      </c>
      <c r="F98" s="4">
        <v>46263</v>
      </c>
      <c r="G98" s="4">
        <v>46263</v>
      </c>
      <c r="H98" t="s">
        <v>17</v>
      </c>
      <c r="I98" t="s">
        <v>29</v>
      </c>
      <c r="J98" s="8" t="s">
        <v>36</v>
      </c>
      <c r="K98" s="5"/>
      <c r="L98" s="5" t="s">
        <v>1689</v>
      </c>
      <c r="M98" s="8" t="s">
        <v>1918</v>
      </c>
    </row>
    <row r="99" spans="1:13">
      <c r="A99" t="s">
        <v>757</v>
      </c>
      <c r="B99">
        <v>1</v>
      </c>
      <c r="C99" s="7">
        <v>7.14</v>
      </c>
      <c r="D99" s="7">
        <v>7.14</v>
      </c>
      <c r="E99" s="7">
        <v>7.14</v>
      </c>
      <c r="F99" s="4">
        <v>46209</v>
      </c>
      <c r="G99" s="4">
        <v>46209</v>
      </c>
      <c r="H99" t="s">
        <v>17</v>
      </c>
      <c r="I99" t="s">
        <v>29</v>
      </c>
      <c r="J99" s="8" t="s">
        <v>36</v>
      </c>
      <c r="K99" s="5"/>
      <c r="L99" s="5" t="s">
        <v>756</v>
      </c>
      <c r="M99" s="8" t="s">
        <v>1918</v>
      </c>
    </row>
    <row r="100" spans="1:13">
      <c r="A100" t="s">
        <v>884</v>
      </c>
      <c r="B100">
        <v>1</v>
      </c>
      <c r="C100" s="7">
        <v>7.14</v>
      </c>
      <c r="D100" s="7">
        <v>7.14</v>
      </c>
      <c r="E100" s="7">
        <v>7.14</v>
      </c>
      <c r="F100" s="4">
        <v>46216</v>
      </c>
      <c r="G100" s="4">
        <v>46216</v>
      </c>
      <c r="H100" t="s">
        <v>17</v>
      </c>
      <c r="I100" t="s">
        <v>29</v>
      </c>
      <c r="J100" s="8" t="s">
        <v>36</v>
      </c>
      <c r="K100" s="5"/>
      <c r="L100" s="5" t="s">
        <v>883</v>
      </c>
      <c r="M100" s="8" t="s">
        <v>1918</v>
      </c>
    </row>
    <row r="101" spans="1:13">
      <c r="A101" t="s">
        <v>574</v>
      </c>
      <c r="B101">
        <v>1</v>
      </c>
      <c r="C101" s="7">
        <v>7.1</v>
      </c>
      <c r="D101" s="7">
        <v>7.1</v>
      </c>
      <c r="E101" s="7">
        <v>7.1</v>
      </c>
      <c r="F101" s="4">
        <v>46198</v>
      </c>
      <c r="G101" s="4">
        <v>46198</v>
      </c>
      <c r="H101" t="s">
        <v>17</v>
      </c>
      <c r="I101" t="s">
        <v>29</v>
      </c>
      <c r="J101" s="8" t="s">
        <v>36</v>
      </c>
      <c r="K101" s="5"/>
      <c r="L101" s="5" t="s">
        <v>573</v>
      </c>
      <c r="M101" s="8" t="s">
        <v>1918</v>
      </c>
    </row>
    <row r="102" spans="1:13">
      <c r="A102" t="s">
        <v>683</v>
      </c>
      <c r="B102">
        <v>1</v>
      </c>
      <c r="C102" s="7">
        <v>7.1</v>
      </c>
      <c r="D102" s="7">
        <v>7.1</v>
      </c>
      <c r="E102" s="7">
        <v>7.1</v>
      </c>
      <c r="F102" s="4">
        <v>46204</v>
      </c>
      <c r="G102" s="4">
        <v>46204</v>
      </c>
      <c r="H102" t="s">
        <v>17</v>
      </c>
      <c r="I102" t="s">
        <v>29</v>
      </c>
      <c r="J102" s="8" t="s">
        <v>36</v>
      </c>
      <c r="K102" s="5"/>
      <c r="L102" s="5" t="s">
        <v>682</v>
      </c>
      <c r="M102" s="8" t="s">
        <v>1918</v>
      </c>
    </row>
    <row r="103" spans="1:13">
      <c r="A103" t="s">
        <v>172</v>
      </c>
      <c r="B103">
        <v>1</v>
      </c>
      <c r="C103" s="7">
        <v>7.09</v>
      </c>
      <c r="D103" s="7">
        <v>7.09</v>
      </c>
      <c r="E103" s="7">
        <v>7.09</v>
      </c>
      <c r="F103" s="4">
        <v>46177</v>
      </c>
      <c r="G103" s="4">
        <v>46177</v>
      </c>
      <c r="H103" t="s">
        <v>17</v>
      </c>
      <c r="I103" t="s">
        <v>29</v>
      </c>
      <c r="J103" s="8" t="s">
        <v>36</v>
      </c>
      <c r="K103" s="5"/>
      <c r="L103" s="5" t="s">
        <v>171</v>
      </c>
      <c r="M103" s="8" t="s">
        <v>1918</v>
      </c>
    </row>
    <row r="104" spans="1:13">
      <c r="A104" t="s">
        <v>1634</v>
      </c>
      <c r="B104">
        <v>1</v>
      </c>
      <c r="C104" s="7">
        <v>7.03</v>
      </c>
      <c r="D104" s="7">
        <v>7.03</v>
      </c>
      <c r="E104" s="7">
        <v>7.03</v>
      </c>
      <c r="F104" s="4">
        <v>46260</v>
      </c>
      <c r="G104" s="4">
        <v>46260</v>
      </c>
      <c r="H104" t="s">
        <v>17</v>
      </c>
      <c r="I104" t="s">
        <v>29</v>
      </c>
      <c r="J104" s="8" t="s">
        <v>36</v>
      </c>
      <c r="K104" s="5"/>
      <c r="L104" s="5" t="s">
        <v>1633</v>
      </c>
      <c r="M104" s="8" t="s">
        <v>1918</v>
      </c>
    </row>
    <row r="105" spans="1:13">
      <c r="A105" t="s">
        <v>862</v>
      </c>
      <c r="B105">
        <v>1</v>
      </c>
      <c r="C105" s="7">
        <v>7</v>
      </c>
      <c r="D105" s="7">
        <v>7</v>
      </c>
      <c r="E105" s="7">
        <v>7</v>
      </c>
      <c r="F105" s="4">
        <v>46214</v>
      </c>
      <c r="G105" s="4">
        <v>46214</v>
      </c>
      <c r="H105" t="s">
        <v>17</v>
      </c>
      <c r="I105" t="s">
        <v>29</v>
      </c>
      <c r="J105" s="8" t="s">
        <v>36</v>
      </c>
      <c r="K105" s="5"/>
      <c r="L105" s="5" t="s">
        <v>860</v>
      </c>
      <c r="M105" s="8" t="s">
        <v>1918</v>
      </c>
    </row>
    <row r="106" spans="1:13">
      <c r="A106" t="s">
        <v>1113</v>
      </c>
      <c r="B106">
        <v>1</v>
      </c>
      <c r="C106" s="7">
        <v>7</v>
      </c>
      <c r="D106" s="7">
        <v>7</v>
      </c>
      <c r="E106" s="7">
        <v>7</v>
      </c>
      <c r="F106" s="4">
        <v>46228</v>
      </c>
      <c r="G106" s="4">
        <v>46228</v>
      </c>
      <c r="H106" t="s">
        <v>17</v>
      </c>
      <c r="I106" t="s">
        <v>29</v>
      </c>
      <c r="J106" s="8" t="s">
        <v>36</v>
      </c>
      <c r="K106" s="5"/>
      <c r="L106" s="5" t="s">
        <v>1112</v>
      </c>
      <c r="M106" s="8" t="s">
        <v>1918</v>
      </c>
    </row>
    <row r="107" spans="1:13">
      <c r="A107" t="s">
        <v>978</v>
      </c>
      <c r="B107">
        <v>1</v>
      </c>
      <c r="C107" s="7">
        <v>6.97</v>
      </c>
      <c r="D107" s="7">
        <v>6.97</v>
      </c>
      <c r="E107" s="7">
        <v>6.97</v>
      </c>
      <c r="F107" s="4">
        <v>46220</v>
      </c>
      <c r="G107" s="4">
        <v>46220</v>
      </c>
      <c r="H107" t="s">
        <v>17</v>
      </c>
      <c r="I107" t="s">
        <v>29</v>
      </c>
      <c r="J107" s="8" t="s">
        <v>36</v>
      </c>
      <c r="K107" s="5"/>
      <c r="L107" s="5" t="s">
        <v>977</v>
      </c>
      <c r="M107" s="8" t="s">
        <v>1918</v>
      </c>
    </row>
    <row r="108" spans="1:13">
      <c r="A108" t="s">
        <v>1817</v>
      </c>
      <c r="B108">
        <v>1</v>
      </c>
      <c r="C108" s="7">
        <v>6.88</v>
      </c>
      <c r="D108" s="7">
        <v>6.88</v>
      </c>
      <c r="E108" s="7">
        <v>6.88</v>
      </c>
      <c r="F108" s="4">
        <v>46273</v>
      </c>
      <c r="G108" s="4">
        <v>46273</v>
      </c>
      <c r="H108" t="s">
        <v>17</v>
      </c>
      <c r="I108" t="s">
        <v>29</v>
      </c>
      <c r="J108" s="8" t="s">
        <v>36</v>
      </c>
      <c r="K108" s="5"/>
      <c r="L108" s="5" t="s">
        <v>1816</v>
      </c>
      <c r="M108" s="8" t="s">
        <v>1918</v>
      </c>
    </row>
    <row r="109" spans="1:13">
      <c r="A109" t="s">
        <v>1176</v>
      </c>
      <c r="B109">
        <v>1</v>
      </c>
      <c r="C109" s="7">
        <v>6.58</v>
      </c>
      <c r="D109" s="7">
        <v>6.58</v>
      </c>
      <c r="E109" s="7">
        <v>6.58</v>
      </c>
      <c r="F109" s="4">
        <v>46232</v>
      </c>
      <c r="G109" s="4">
        <v>46232</v>
      </c>
      <c r="H109" t="s">
        <v>17</v>
      </c>
      <c r="I109" t="s">
        <v>29</v>
      </c>
      <c r="J109" s="8" t="s">
        <v>36</v>
      </c>
      <c r="K109" s="5"/>
      <c r="L109" s="5" t="s">
        <v>1175</v>
      </c>
      <c r="M109" s="8" t="s">
        <v>1918</v>
      </c>
    </row>
    <row r="110" spans="1:13">
      <c r="A110" t="s">
        <v>601</v>
      </c>
      <c r="B110">
        <v>1</v>
      </c>
      <c r="C110" s="7">
        <v>6.58</v>
      </c>
      <c r="D110" s="7">
        <v>6.58</v>
      </c>
      <c r="E110" s="7">
        <v>6.58</v>
      </c>
      <c r="F110" s="4">
        <v>46199</v>
      </c>
      <c r="G110" s="4">
        <v>46199</v>
      </c>
      <c r="H110" t="s">
        <v>17</v>
      </c>
      <c r="I110" t="s">
        <v>29</v>
      </c>
      <c r="J110" s="8" t="s">
        <v>36</v>
      </c>
      <c r="K110" s="5"/>
      <c r="L110" s="5" t="s">
        <v>600</v>
      </c>
      <c r="M110" s="8" t="s">
        <v>1918</v>
      </c>
    </row>
    <row r="111" spans="1:13">
      <c r="A111" t="s">
        <v>1728</v>
      </c>
      <c r="B111">
        <v>1</v>
      </c>
      <c r="C111" s="7">
        <v>6.58</v>
      </c>
      <c r="D111" s="7">
        <v>6.58</v>
      </c>
      <c r="E111" s="7">
        <v>6.58</v>
      </c>
      <c r="F111" s="4">
        <v>46266</v>
      </c>
      <c r="G111" s="4">
        <v>46266</v>
      </c>
      <c r="H111" t="s">
        <v>17</v>
      </c>
      <c r="I111" t="s">
        <v>29</v>
      </c>
      <c r="J111" s="8" t="s">
        <v>36</v>
      </c>
      <c r="K111" s="5"/>
      <c r="L111" s="5" t="s">
        <v>1727</v>
      </c>
      <c r="M111" s="8" t="s">
        <v>1918</v>
      </c>
    </row>
    <row r="112" spans="1:13">
      <c r="A112" t="s">
        <v>1335</v>
      </c>
      <c r="B112">
        <v>1</v>
      </c>
      <c r="C112" s="7">
        <v>6.1</v>
      </c>
      <c r="D112" s="7">
        <v>6.1</v>
      </c>
      <c r="E112" s="7">
        <v>6.1</v>
      </c>
      <c r="F112" s="4">
        <v>46242</v>
      </c>
      <c r="G112" s="4">
        <v>46242</v>
      </c>
      <c r="H112" t="s">
        <v>17</v>
      </c>
      <c r="I112" t="s">
        <v>29</v>
      </c>
      <c r="J112" s="8" t="s">
        <v>36</v>
      </c>
      <c r="K112" s="5"/>
      <c r="L112" s="5" t="s">
        <v>1334</v>
      </c>
      <c r="M112" s="8" t="s">
        <v>1918</v>
      </c>
    </row>
    <row r="113" spans="1:13">
      <c r="A113" t="s">
        <v>210</v>
      </c>
      <c r="B113">
        <v>1</v>
      </c>
      <c r="C113" s="7">
        <v>6</v>
      </c>
      <c r="D113" s="7">
        <v>6</v>
      </c>
      <c r="E113" s="7">
        <v>6</v>
      </c>
      <c r="F113" s="4">
        <v>46179</v>
      </c>
      <c r="G113" s="4">
        <v>46179</v>
      </c>
      <c r="H113" t="s">
        <v>17</v>
      </c>
      <c r="I113" t="s">
        <v>29</v>
      </c>
      <c r="J113" s="8" t="s">
        <v>36</v>
      </c>
      <c r="K113" s="5"/>
      <c r="L113" s="5" t="s">
        <v>209</v>
      </c>
      <c r="M113" s="8" t="s">
        <v>1918</v>
      </c>
    </row>
    <row r="114" spans="1:13">
      <c r="A114" t="s">
        <v>1117</v>
      </c>
      <c r="B114">
        <v>1</v>
      </c>
      <c r="C114" s="7">
        <v>6</v>
      </c>
      <c r="D114" s="7">
        <v>6</v>
      </c>
      <c r="E114" s="7">
        <v>6</v>
      </c>
      <c r="F114" s="4">
        <v>46229</v>
      </c>
      <c r="G114" s="4">
        <v>46229</v>
      </c>
      <c r="H114" t="s">
        <v>17</v>
      </c>
      <c r="I114" t="s">
        <v>29</v>
      </c>
      <c r="J114" s="8" t="s">
        <v>36</v>
      </c>
      <c r="K114" s="5"/>
      <c r="L114" s="5" t="s">
        <v>1116</v>
      </c>
      <c r="M114" s="8" t="s">
        <v>1918</v>
      </c>
    </row>
    <row r="115" spans="1:13">
      <c r="A115" t="s">
        <v>880</v>
      </c>
      <c r="B115">
        <v>1</v>
      </c>
      <c r="C115" s="7">
        <v>5.57</v>
      </c>
      <c r="D115" s="7">
        <v>5.57</v>
      </c>
      <c r="E115" s="7">
        <v>5.57</v>
      </c>
      <c r="F115" s="4">
        <v>46215</v>
      </c>
      <c r="G115" s="4">
        <v>46215</v>
      </c>
      <c r="H115" t="s">
        <v>17</v>
      </c>
      <c r="I115" t="s">
        <v>29</v>
      </c>
      <c r="J115" s="8" t="s">
        <v>36</v>
      </c>
      <c r="K115" s="5"/>
      <c r="L115" s="5" t="s">
        <v>880</v>
      </c>
      <c r="M115" s="8" t="s">
        <v>1918</v>
      </c>
    </row>
    <row r="116" spans="1:13">
      <c r="A116" t="s">
        <v>636</v>
      </c>
      <c r="B116">
        <v>1</v>
      </c>
      <c r="C116" s="7">
        <v>5.5</v>
      </c>
      <c r="D116" s="7">
        <v>5.5</v>
      </c>
      <c r="E116" s="7">
        <v>5.5</v>
      </c>
      <c r="F116" s="4">
        <v>46202</v>
      </c>
      <c r="G116" s="4">
        <v>46202</v>
      </c>
      <c r="H116" t="s">
        <v>17</v>
      </c>
      <c r="I116" t="s">
        <v>29</v>
      </c>
      <c r="J116" s="8" t="s">
        <v>36</v>
      </c>
      <c r="K116" s="5"/>
      <c r="L116" s="5" t="s">
        <v>635</v>
      </c>
      <c r="M116" s="8" t="s">
        <v>1918</v>
      </c>
    </row>
    <row r="117" spans="1:13">
      <c r="A117" t="s">
        <v>1846</v>
      </c>
      <c r="B117">
        <v>1</v>
      </c>
      <c r="C117" s="7">
        <v>5.5</v>
      </c>
      <c r="D117" s="7">
        <v>5.5</v>
      </c>
      <c r="E117" s="7">
        <v>5.5</v>
      </c>
      <c r="F117" s="4">
        <v>46273</v>
      </c>
      <c r="G117" s="4">
        <v>46273</v>
      </c>
      <c r="H117" t="s">
        <v>17</v>
      </c>
      <c r="I117" t="s">
        <v>29</v>
      </c>
      <c r="J117" s="8" t="s">
        <v>36</v>
      </c>
      <c r="K117" s="5"/>
      <c r="L117" s="5" t="s">
        <v>1845</v>
      </c>
      <c r="M117" s="8" t="s">
        <v>1918</v>
      </c>
    </row>
    <row r="118" spans="1:13">
      <c r="A118" t="s">
        <v>1250</v>
      </c>
      <c r="B118">
        <v>1</v>
      </c>
      <c r="C118" s="7">
        <v>5.47</v>
      </c>
      <c r="D118" s="7">
        <v>5.47</v>
      </c>
      <c r="E118" s="7">
        <v>5.47</v>
      </c>
      <c r="F118" s="4">
        <v>46238</v>
      </c>
      <c r="G118" s="4">
        <v>46238</v>
      </c>
      <c r="H118" t="s">
        <v>17</v>
      </c>
      <c r="I118" t="s">
        <v>29</v>
      </c>
      <c r="J118" s="8" t="s">
        <v>36</v>
      </c>
      <c r="K118" s="5"/>
      <c r="L118" s="5" t="s">
        <v>1248</v>
      </c>
      <c r="M118" s="8" t="s">
        <v>1918</v>
      </c>
    </row>
    <row r="119" spans="1:13">
      <c r="A119" t="s">
        <v>1677</v>
      </c>
      <c r="B119">
        <v>1</v>
      </c>
      <c r="C119" s="7">
        <v>5.24</v>
      </c>
      <c r="D119" s="7">
        <v>5.24</v>
      </c>
      <c r="E119" s="7">
        <v>5.24</v>
      </c>
      <c r="F119" s="4">
        <v>46263</v>
      </c>
      <c r="G119" s="4">
        <v>46263</v>
      </c>
      <c r="H119" t="s">
        <v>17</v>
      </c>
      <c r="I119" t="s">
        <v>29</v>
      </c>
      <c r="J119" s="8" t="s">
        <v>36</v>
      </c>
      <c r="K119" s="5"/>
      <c r="L119" s="5" t="s">
        <v>1675</v>
      </c>
      <c r="M119" s="8" t="s">
        <v>1918</v>
      </c>
    </row>
    <row r="120" spans="1:13">
      <c r="A120" t="s">
        <v>1569</v>
      </c>
      <c r="B120">
        <v>1</v>
      </c>
      <c r="C120" s="7">
        <v>5.09</v>
      </c>
      <c r="D120" s="7">
        <v>5.09</v>
      </c>
      <c r="E120" s="7">
        <v>5.09</v>
      </c>
      <c r="F120" s="4">
        <v>46257</v>
      </c>
      <c r="G120" s="4">
        <v>46257</v>
      </c>
      <c r="H120" t="s">
        <v>17</v>
      </c>
      <c r="I120" t="s">
        <v>29</v>
      </c>
      <c r="J120" s="8" t="s">
        <v>36</v>
      </c>
      <c r="K120" s="5"/>
      <c r="L120" s="5" t="s">
        <v>1568</v>
      </c>
      <c r="M120" s="8" t="s">
        <v>1918</v>
      </c>
    </row>
    <row r="121" spans="1:13">
      <c r="A121" t="s">
        <v>451</v>
      </c>
      <c r="B121">
        <v>1</v>
      </c>
      <c r="C121" s="7">
        <v>5.08</v>
      </c>
      <c r="D121" s="7">
        <v>5.08</v>
      </c>
      <c r="E121" s="7">
        <v>5.08</v>
      </c>
      <c r="F121" s="4">
        <v>46193</v>
      </c>
      <c r="G121" s="4">
        <v>46193</v>
      </c>
      <c r="H121" t="s">
        <v>17</v>
      </c>
      <c r="I121" t="s">
        <v>29</v>
      </c>
      <c r="J121" s="8" t="s">
        <v>36</v>
      </c>
      <c r="K121" s="5"/>
      <c r="L121" s="5" t="s">
        <v>450</v>
      </c>
      <c r="M121" s="8" t="s">
        <v>1918</v>
      </c>
    </row>
    <row r="122" spans="1:13">
      <c r="A122" t="s">
        <v>1737</v>
      </c>
      <c r="B122">
        <v>1</v>
      </c>
      <c r="C122" s="7">
        <v>5.02</v>
      </c>
      <c r="D122" s="7">
        <v>5.02</v>
      </c>
      <c r="E122" s="7">
        <v>5.02</v>
      </c>
      <c r="F122" s="4">
        <v>46266</v>
      </c>
      <c r="G122" s="4">
        <v>46266</v>
      </c>
      <c r="H122" t="s">
        <v>17</v>
      </c>
      <c r="I122" t="s">
        <v>29</v>
      </c>
      <c r="J122" s="8" t="s">
        <v>36</v>
      </c>
      <c r="K122" s="5"/>
      <c r="L122" s="5" t="s">
        <v>1736</v>
      </c>
      <c r="M122" s="8" t="s">
        <v>1918</v>
      </c>
    </row>
    <row r="123" spans="1:13">
      <c r="A123" t="s">
        <v>836</v>
      </c>
      <c r="B123">
        <v>1</v>
      </c>
      <c r="C123" s="7">
        <v>5</v>
      </c>
      <c r="D123" s="7">
        <v>5</v>
      </c>
      <c r="E123" s="7">
        <v>5</v>
      </c>
      <c r="F123" s="4">
        <v>46212</v>
      </c>
      <c r="G123" s="4">
        <v>46212</v>
      </c>
      <c r="H123" t="s">
        <v>17</v>
      </c>
      <c r="I123" t="s">
        <v>29</v>
      </c>
      <c r="J123" s="8" t="s">
        <v>36</v>
      </c>
      <c r="K123" s="5"/>
      <c r="L123" s="5" t="s">
        <v>835</v>
      </c>
      <c r="M123" s="8" t="s">
        <v>1918</v>
      </c>
    </row>
    <row r="124" spans="1:13">
      <c r="A124" t="s">
        <v>1034</v>
      </c>
      <c r="B124">
        <v>1</v>
      </c>
      <c r="C124" s="7">
        <v>4.98</v>
      </c>
      <c r="D124" s="7">
        <v>4.98</v>
      </c>
      <c r="E124" s="7">
        <v>4.98</v>
      </c>
      <c r="F124" s="4">
        <v>46225</v>
      </c>
      <c r="G124" s="4">
        <v>46225</v>
      </c>
      <c r="H124" t="s">
        <v>17</v>
      </c>
      <c r="I124" t="s">
        <v>29</v>
      </c>
      <c r="J124" s="8" t="s">
        <v>36</v>
      </c>
      <c r="K124" s="5"/>
      <c r="L124" s="5" t="s">
        <v>1033</v>
      </c>
      <c r="M124" s="8" t="s">
        <v>1918</v>
      </c>
    </row>
    <row r="125" spans="1:13">
      <c r="A125" t="s">
        <v>492</v>
      </c>
      <c r="B125">
        <v>1</v>
      </c>
      <c r="C125" s="7">
        <v>4.97</v>
      </c>
      <c r="D125" s="7">
        <v>4.97</v>
      </c>
      <c r="E125" s="7">
        <v>4.97</v>
      </c>
      <c r="F125" s="4">
        <v>46196</v>
      </c>
      <c r="G125" s="4">
        <v>46196</v>
      </c>
      <c r="H125" t="s">
        <v>17</v>
      </c>
      <c r="I125" t="s">
        <v>29</v>
      </c>
      <c r="J125" s="8" t="s">
        <v>36</v>
      </c>
      <c r="K125" s="5"/>
      <c r="L125" s="5" t="s">
        <v>491</v>
      </c>
      <c r="M125" s="8" t="s">
        <v>1918</v>
      </c>
    </row>
    <row r="126" spans="1:13">
      <c r="A126" t="s">
        <v>448</v>
      </c>
      <c r="B126">
        <v>1</v>
      </c>
      <c r="C126" s="7">
        <v>4.88</v>
      </c>
      <c r="D126" s="7">
        <v>4.88</v>
      </c>
      <c r="E126" s="7">
        <v>4.88</v>
      </c>
      <c r="F126" s="4">
        <v>46193</v>
      </c>
      <c r="G126" s="4">
        <v>46193</v>
      </c>
      <c r="H126" t="s">
        <v>17</v>
      </c>
      <c r="I126" t="s">
        <v>29</v>
      </c>
      <c r="J126" s="8" t="s">
        <v>36</v>
      </c>
      <c r="K126" s="5"/>
      <c r="L126" s="5" t="s">
        <v>447</v>
      </c>
      <c r="M126" s="8" t="s">
        <v>1918</v>
      </c>
    </row>
    <row r="127" spans="1:13">
      <c r="A127" t="s">
        <v>1089</v>
      </c>
      <c r="B127">
        <v>1</v>
      </c>
      <c r="C127" s="7">
        <v>4.2</v>
      </c>
      <c r="D127" s="7">
        <v>4.2</v>
      </c>
      <c r="E127" s="7">
        <v>4.2</v>
      </c>
      <c r="F127" s="4">
        <v>46227</v>
      </c>
      <c r="G127" s="4">
        <v>46227</v>
      </c>
      <c r="H127" t="s">
        <v>17</v>
      </c>
      <c r="I127" t="s">
        <v>29</v>
      </c>
      <c r="J127" s="8" t="s">
        <v>36</v>
      </c>
      <c r="K127" s="5"/>
      <c r="L127" s="5" t="s">
        <v>1088</v>
      </c>
      <c r="M127" s="8" t="s">
        <v>1918</v>
      </c>
    </row>
    <row r="128" spans="1:13">
      <c r="A128" t="s">
        <v>1719</v>
      </c>
      <c r="B128">
        <v>1</v>
      </c>
      <c r="C128" s="7">
        <v>4</v>
      </c>
      <c r="D128" s="7">
        <v>4</v>
      </c>
      <c r="E128" s="7">
        <v>4</v>
      </c>
      <c r="F128" s="4">
        <v>46266</v>
      </c>
      <c r="G128" s="4">
        <v>46266</v>
      </c>
      <c r="H128" t="s">
        <v>17</v>
      </c>
      <c r="I128" t="s">
        <v>29</v>
      </c>
      <c r="J128" s="8" t="s">
        <v>36</v>
      </c>
      <c r="K128" s="5"/>
      <c r="L128" s="5" t="s">
        <v>1717</v>
      </c>
      <c r="M128" s="8" t="s">
        <v>1918</v>
      </c>
    </row>
    <row r="129" spans="1:13">
      <c r="A129" t="s">
        <v>1154</v>
      </c>
      <c r="B129">
        <v>1</v>
      </c>
      <c r="C129" s="7">
        <v>3.99</v>
      </c>
      <c r="D129" s="7">
        <v>3.99</v>
      </c>
      <c r="E129" s="7">
        <v>3.99</v>
      </c>
      <c r="F129" s="4">
        <v>46231</v>
      </c>
      <c r="G129" s="4">
        <v>46231</v>
      </c>
      <c r="H129" t="s">
        <v>17</v>
      </c>
      <c r="I129" t="s">
        <v>29</v>
      </c>
      <c r="J129" s="8" t="s">
        <v>36</v>
      </c>
      <c r="K129" s="5"/>
      <c r="L129" s="5" t="s">
        <v>1153</v>
      </c>
      <c r="M129" s="8" t="s">
        <v>1918</v>
      </c>
    </row>
    <row r="130" spans="1:13">
      <c r="A130" t="s">
        <v>609</v>
      </c>
      <c r="B130">
        <v>1</v>
      </c>
      <c r="C130" s="7">
        <v>3.4</v>
      </c>
      <c r="D130" s="7">
        <v>3.4</v>
      </c>
      <c r="E130" s="7">
        <v>3.4</v>
      </c>
      <c r="F130" s="4">
        <v>46199</v>
      </c>
      <c r="G130" s="4">
        <v>46199</v>
      </c>
      <c r="H130" t="s">
        <v>17</v>
      </c>
      <c r="I130" t="s">
        <v>29</v>
      </c>
      <c r="J130" s="8" t="s">
        <v>36</v>
      </c>
      <c r="K130" s="5"/>
      <c r="L130" s="5" t="s">
        <v>607</v>
      </c>
      <c r="M130" s="8" t="s">
        <v>1918</v>
      </c>
    </row>
    <row r="131" spans="1:13">
      <c r="A131" t="s">
        <v>256</v>
      </c>
      <c r="B131">
        <v>1</v>
      </c>
      <c r="C131" s="7">
        <v>3</v>
      </c>
      <c r="D131" s="7">
        <v>3</v>
      </c>
      <c r="E131" s="7">
        <v>3</v>
      </c>
      <c r="F131" s="4">
        <v>46182</v>
      </c>
      <c r="G131" s="4">
        <v>46182</v>
      </c>
      <c r="H131" t="s">
        <v>17</v>
      </c>
      <c r="I131" t="s">
        <v>29</v>
      </c>
      <c r="J131" s="8" t="s">
        <v>36</v>
      </c>
      <c r="K131" s="5"/>
      <c r="L131" s="5" t="s">
        <v>255</v>
      </c>
      <c r="M131" s="8" t="s">
        <v>1918</v>
      </c>
    </row>
    <row r="132" spans="1:13">
      <c r="A132" t="s">
        <v>1157</v>
      </c>
      <c r="B132">
        <v>1</v>
      </c>
      <c r="C132" s="7">
        <v>2.5</v>
      </c>
      <c r="D132" s="7">
        <v>2.5</v>
      </c>
      <c r="E132" s="7">
        <v>2.5</v>
      </c>
      <c r="F132" s="4">
        <v>46231</v>
      </c>
      <c r="G132" s="4">
        <v>46231</v>
      </c>
      <c r="H132" t="s">
        <v>17</v>
      </c>
      <c r="I132" t="s">
        <v>29</v>
      </c>
      <c r="J132" s="8" t="s">
        <v>36</v>
      </c>
      <c r="K132" s="5"/>
      <c r="L132" s="5" t="s">
        <v>1156</v>
      </c>
      <c r="M132" s="8" t="s">
        <v>1918</v>
      </c>
    </row>
    <row r="133" spans="1:13">
      <c r="A133" t="s">
        <v>511</v>
      </c>
      <c r="B133">
        <v>2</v>
      </c>
      <c r="C133" s="7">
        <v>2.1</v>
      </c>
      <c r="D133" s="7">
        <v>1.05</v>
      </c>
      <c r="E133" s="7">
        <v>1.05</v>
      </c>
      <c r="F133" s="4">
        <v>46197</v>
      </c>
      <c r="G133" s="4">
        <v>46224</v>
      </c>
      <c r="H133" t="s">
        <v>14</v>
      </c>
      <c r="I133" t="s">
        <v>27</v>
      </c>
      <c r="J133" s="6" t="s">
        <v>34</v>
      </c>
      <c r="K133" s="5" t="s">
        <v>512</v>
      </c>
      <c r="L133" s="5" t="s">
        <v>509</v>
      </c>
      <c r="M133" s="6" t="s">
        <v>1917</v>
      </c>
    </row>
    <row r="134" spans="1:13">
      <c r="A134" t="s">
        <v>1670</v>
      </c>
      <c r="B134">
        <v>1</v>
      </c>
      <c r="C134" s="7">
        <v>2.03</v>
      </c>
      <c r="D134" s="7">
        <v>2.03</v>
      </c>
      <c r="E134" s="7">
        <v>2.03</v>
      </c>
      <c r="F134" s="4">
        <v>46262</v>
      </c>
      <c r="G134" s="4">
        <v>46262</v>
      </c>
      <c r="H134" t="s">
        <v>17</v>
      </c>
      <c r="I134" t="s">
        <v>29</v>
      </c>
      <c r="J134" s="8" t="s">
        <v>36</v>
      </c>
      <c r="K134" s="5"/>
      <c r="L134" s="5" t="s">
        <v>1669</v>
      </c>
      <c r="M134" s="8" t="s">
        <v>1918</v>
      </c>
    </row>
    <row r="135" spans="1:13">
      <c r="A135" t="s">
        <v>1593</v>
      </c>
      <c r="B135">
        <v>1</v>
      </c>
      <c r="C135" s="7">
        <v>2</v>
      </c>
      <c r="D135" s="7">
        <v>2</v>
      </c>
      <c r="E135" s="7">
        <v>2</v>
      </c>
      <c r="F135" s="4">
        <v>46259</v>
      </c>
      <c r="G135" s="4">
        <v>46259</v>
      </c>
      <c r="H135" t="s">
        <v>17</v>
      </c>
      <c r="I135" t="s">
        <v>29</v>
      </c>
      <c r="J135" s="8" t="s">
        <v>36</v>
      </c>
      <c r="K135" s="5"/>
      <c r="L135" s="5" t="s">
        <v>1592</v>
      </c>
      <c r="M135" s="8" t="s">
        <v>1918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5" width="28.7109375" customWidth="1"/>
    <col min="6" max="7" width="26.7109375" customWidth="1"/>
    <col min="8" max="8" width="14.7109375" customWidth="1"/>
    <col min="9" max="9" width="50.7109375" customWidth="1"/>
  </cols>
  <sheetData>
    <row r="1" spans="1:9">
      <c r="A1" t="s">
        <v>1923</v>
      </c>
      <c r="B1" t="s">
        <v>1924</v>
      </c>
      <c r="C1" t="s">
        <v>1925</v>
      </c>
      <c r="D1" t="s">
        <v>1926</v>
      </c>
      <c r="E1" t="s">
        <v>1927</v>
      </c>
      <c r="F1" t="s">
        <v>0</v>
      </c>
      <c r="G1" t="s">
        <v>24</v>
      </c>
      <c r="H1" t="s">
        <v>1928</v>
      </c>
      <c r="I1" t="s">
        <v>1929</v>
      </c>
    </row>
    <row r="2" spans="1:9">
      <c r="A2" t="s">
        <v>1930</v>
      </c>
      <c r="B2">
        <v>220</v>
      </c>
      <c r="C2" t="s">
        <v>1931</v>
      </c>
      <c r="D2" t="s">
        <v>1932</v>
      </c>
      <c r="E2" t="s">
        <v>1254</v>
      </c>
      <c r="F2" t="s">
        <v>5</v>
      </c>
      <c r="G2" t="s">
        <v>25</v>
      </c>
      <c r="H2" s="13" t="s">
        <v>33</v>
      </c>
      <c r="I2" s="5" t="s">
        <v>1933</v>
      </c>
    </row>
    <row r="3" spans="1:9">
      <c r="A3" t="s">
        <v>1930</v>
      </c>
      <c r="B3">
        <v>220</v>
      </c>
      <c r="C3" t="s">
        <v>1931</v>
      </c>
      <c r="D3" t="s">
        <v>1934</v>
      </c>
      <c r="E3" t="s">
        <v>488</v>
      </c>
      <c r="F3" t="s">
        <v>15</v>
      </c>
      <c r="G3" t="s">
        <v>27</v>
      </c>
      <c r="H3" s="13" t="s">
        <v>33</v>
      </c>
      <c r="I3" s="5" t="s">
        <v>1935</v>
      </c>
    </row>
    <row r="4" spans="1:9">
      <c r="A4" t="s">
        <v>1930</v>
      </c>
      <c r="B4">
        <v>220</v>
      </c>
      <c r="C4" t="s">
        <v>1931</v>
      </c>
      <c r="D4" t="s">
        <v>1772</v>
      </c>
      <c r="E4" t="s">
        <v>1772</v>
      </c>
      <c r="F4" t="s">
        <v>23</v>
      </c>
      <c r="G4" t="s">
        <v>28</v>
      </c>
      <c r="H4" s="13" t="s">
        <v>33</v>
      </c>
      <c r="I4" s="5" t="s">
        <v>1936</v>
      </c>
    </row>
    <row r="5" spans="1:9">
      <c r="A5" t="s">
        <v>1930</v>
      </c>
      <c r="B5">
        <v>220</v>
      </c>
      <c r="C5" t="s">
        <v>1931</v>
      </c>
      <c r="D5" t="s">
        <v>1937</v>
      </c>
      <c r="E5" t="s">
        <v>617</v>
      </c>
      <c r="F5" t="s">
        <v>23</v>
      </c>
      <c r="G5" t="s">
        <v>28</v>
      </c>
      <c r="H5" s="13" t="s">
        <v>33</v>
      </c>
      <c r="I5" s="5" t="s">
        <v>1938</v>
      </c>
    </row>
    <row r="6" spans="1:9">
      <c r="A6" t="s">
        <v>1930</v>
      </c>
      <c r="B6">
        <v>220</v>
      </c>
      <c r="C6" t="s">
        <v>1931</v>
      </c>
      <c r="D6" t="s">
        <v>924</v>
      </c>
      <c r="E6" t="s">
        <v>925</v>
      </c>
      <c r="F6" t="s">
        <v>23</v>
      </c>
      <c r="G6" t="s">
        <v>28</v>
      </c>
      <c r="H6" s="6" t="s">
        <v>34</v>
      </c>
      <c r="I6" s="5" t="s">
        <v>1939</v>
      </c>
    </row>
    <row r="7" spans="1:9">
      <c r="A7" t="s">
        <v>1930</v>
      </c>
      <c r="B7">
        <v>220</v>
      </c>
      <c r="C7" t="s">
        <v>1931</v>
      </c>
      <c r="D7" t="s">
        <v>1940</v>
      </c>
      <c r="E7" t="s">
        <v>961</v>
      </c>
      <c r="F7" t="s">
        <v>23</v>
      </c>
      <c r="G7" t="s">
        <v>28</v>
      </c>
      <c r="H7" s="6" t="s">
        <v>34</v>
      </c>
      <c r="I7" s="5" t="s">
        <v>1941</v>
      </c>
    </row>
    <row r="8" spans="1:9">
      <c r="A8" t="s">
        <v>1930</v>
      </c>
      <c r="B8">
        <v>220</v>
      </c>
      <c r="C8" t="s">
        <v>1931</v>
      </c>
      <c r="D8" t="s">
        <v>1348</v>
      </c>
      <c r="E8" t="s">
        <v>1348</v>
      </c>
      <c r="F8" t="s">
        <v>23</v>
      </c>
      <c r="G8" t="s">
        <v>28</v>
      </c>
      <c r="H8" s="6" t="s">
        <v>34</v>
      </c>
      <c r="I8" s="5" t="s">
        <v>1941</v>
      </c>
    </row>
    <row r="9" spans="1:9">
      <c r="A9" t="s">
        <v>1930</v>
      </c>
      <c r="B9">
        <v>220</v>
      </c>
      <c r="C9" t="s">
        <v>1931</v>
      </c>
      <c r="D9" t="s">
        <v>1942</v>
      </c>
      <c r="E9" t="s">
        <v>1530</v>
      </c>
      <c r="F9" t="s">
        <v>23</v>
      </c>
      <c r="G9" t="s">
        <v>28</v>
      </c>
      <c r="H9" s="6" t="s">
        <v>34</v>
      </c>
      <c r="I9" s="5" t="s">
        <v>1943</v>
      </c>
    </row>
    <row r="10" spans="1:9">
      <c r="A10" t="s">
        <v>1930</v>
      </c>
      <c r="B10">
        <v>210</v>
      </c>
      <c r="C10" t="s">
        <v>1931</v>
      </c>
      <c r="D10" t="s">
        <v>1944</v>
      </c>
      <c r="E10" t="s">
        <v>100</v>
      </c>
      <c r="F10" t="s">
        <v>5</v>
      </c>
      <c r="G10" t="s">
        <v>25</v>
      </c>
      <c r="H10" s="13" t="s">
        <v>33</v>
      </c>
      <c r="I10" s="5" t="s">
        <v>1945</v>
      </c>
    </row>
    <row r="11" spans="1:9">
      <c r="A11" t="s">
        <v>1930</v>
      </c>
      <c r="B11">
        <v>210</v>
      </c>
      <c r="C11" t="s">
        <v>1931</v>
      </c>
      <c r="D11" t="s">
        <v>1946</v>
      </c>
      <c r="E11" t="s">
        <v>100</v>
      </c>
      <c r="F11" t="s">
        <v>5</v>
      </c>
      <c r="G11" t="s">
        <v>25</v>
      </c>
      <c r="H11" s="13" t="s">
        <v>33</v>
      </c>
      <c r="I11" s="5" t="s">
        <v>1947</v>
      </c>
    </row>
    <row r="12" spans="1:9">
      <c r="A12" t="s">
        <v>1930</v>
      </c>
      <c r="B12">
        <v>210</v>
      </c>
      <c r="C12" t="s">
        <v>1931</v>
      </c>
      <c r="D12" t="s">
        <v>1948</v>
      </c>
      <c r="E12" t="s">
        <v>1498</v>
      </c>
      <c r="F12" t="s">
        <v>7</v>
      </c>
      <c r="G12" t="s">
        <v>25</v>
      </c>
      <c r="H12" s="13" t="s">
        <v>33</v>
      </c>
      <c r="I12" s="5" t="s">
        <v>1949</v>
      </c>
    </row>
    <row r="13" spans="1:9">
      <c r="A13" t="s">
        <v>1930</v>
      </c>
      <c r="B13">
        <v>210</v>
      </c>
      <c r="C13" t="s">
        <v>1931</v>
      </c>
      <c r="D13" t="s">
        <v>1461</v>
      </c>
      <c r="E13" t="s">
        <v>1462</v>
      </c>
      <c r="F13" t="s">
        <v>7</v>
      </c>
      <c r="G13" t="s">
        <v>25</v>
      </c>
      <c r="H13" s="13" t="s">
        <v>33</v>
      </c>
      <c r="I13" s="5" t="s">
        <v>1950</v>
      </c>
    </row>
    <row r="14" spans="1:9">
      <c r="A14" t="s">
        <v>1930</v>
      </c>
      <c r="B14">
        <v>210</v>
      </c>
      <c r="C14" t="s">
        <v>1931</v>
      </c>
      <c r="D14" t="s">
        <v>1951</v>
      </c>
      <c r="E14" t="s">
        <v>604</v>
      </c>
      <c r="F14" t="s">
        <v>7</v>
      </c>
      <c r="G14" t="s">
        <v>25</v>
      </c>
      <c r="H14" s="13" t="s">
        <v>33</v>
      </c>
      <c r="I14" s="5" t="s">
        <v>1952</v>
      </c>
    </row>
    <row r="15" spans="1:9">
      <c r="A15" t="s">
        <v>1930</v>
      </c>
      <c r="B15">
        <v>210</v>
      </c>
      <c r="C15" t="s">
        <v>1931</v>
      </c>
      <c r="D15" t="s">
        <v>1953</v>
      </c>
      <c r="E15" t="s">
        <v>752</v>
      </c>
      <c r="F15" t="s">
        <v>15</v>
      </c>
      <c r="G15" t="s">
        <v>27</v>
      </c>
      <c r="H15" s="13" t="s">
        <v>33</v>
      </c>
      <c r="I15" s="5" t="s">
        <v>1954</v>
      </c>
    </row>
    <row r="16" spans="1:9">
      <c r="A16" t="s">
        <v>1930</v>
      </c>
      <c r="B16">
        <v>210</v>
      </c>
      <c r="C16" t="s">
        <v>1931</v>
      </c>
      <c r="D16" t="s">
        <v>1955</v>
      </c>
      <c r="E16" t="s">
        <v>789</v>
      </c>
      <c r="F16" t="s">
        <v>15</v>
      </c>
      <c r="G16" t="s">
        <v>27</v>
      </c>
      <c r="H16" s="13" t="s">
        <v>33</v>
      </c>
      <c r="I16" s="5" t="s">
        <v>1935</v>
      </c>
    </row>
    <row r="17" spans="1:9">
      <c r="A17" t="s">
        <v>1930</v>
      </c>
      <c r="B17">
        <v>210</v>
      </c>
      <c r="C17" t="s">
        <v>1931</v>
      </c>
      <c r="D17" t="s">
        <v>1956</v>
      </c>
      <c r="E17" t="s">
        <v>830</v>
      </c>
      <c r="F17" t="s">
        <v>15</v>
      </c>
      <c r="G17" t="s">
        <v>27</v>
      </c>
      <c r="H17" s="13" t="s">
        <v>33</v>
      </c>
      <c r="I17" s="5" t="s">
        <v>1957</v>
      </c>
    </row>
    <row r="18" spans="1:9">
      <c r="A18" t="s">
        <v>1930</v>
      </c>
      <c r="B18">
        <v>210</v>
      </c>
      <c r="C18" t="s">
        <v>1931</v>
      </c>
      <c r="D18" t="s">
        <v>1958</v>
      </c>
      <c r="E18" t="s">
        <v>106</v>
      </c>
      <c r="F18" t="s">
        <v>12</v>
      </c>
      <c r="G18" t="s">
        <v>26</v>
      </c>
      <c r="H18" s="13" t="s">
        <v>33</v>
      </c>
      <c r="I18" s="5" t="s">
        <v>106</v>
      </c>
    </row>
    <row r="19" spans="1:9">
      <c r="A19" t="s">
        <v>1930</v>
      </c>
      <c r="B19">
        <v>200</v>
      </c>
      <c r="C19" t="s">
        <v>1931</v>
      </c>
      <c r="D19" t="s">
        <v>1959</v>
      </c>
      <c r="E19" t="s">
        <v>591</v>
      </c>
      <c r="F19" t="s">
        <v>5</v>
      </c>
      <c r="G19" t="s">
        <v>25</v>
      </c>
      <c r="H19" s="13" t="s">
        <v>33</v>
      </c>
      <c r="I19" s="5" t="s">
        <v>1804</v>
      </c>
    </row>
    <row r="20" spans="1:9">
      <c r="A20" t="s">
        <v>1930</v>
      </c>
      <c r="B20">
        <v>200</v>
      </c>
      <c r="C20" t="s">
        <v>1931</v>
      </c>
      <c r="D20" t="s">
        <v>1960</v>
      </c>
      <c r="E20" t="s">
        <v>1804</v>
      </c>
      <c r="F20" t="s">
        <v>5</v>
      </c>
      <c r="G20" t="s">
        <v>25</v>
      </c>
      <c r="H20" s="13" t="s">
        <v>33</v>
      </c>
      <c r="I20" s="5" t="s">
        <v>1804</v>
      </c>
    </row>
    <row r="21" spans="1:9">
      <c r="A21" t="s">
        <v>1930</v>
      </c>
      <c r="B21">
        <v>200</v>
      </c>
      <c r="C21" t="s">
        <v>1931</v>
      </c>
      <c r="D21" t="s">
        <v>1961</v>
      </c>
      <c r="E21" t="s">
        <v>760</v>
      </c>
      <c r="F21" t="s">
        <v>5</v>
      </c>
      <c r="G21" t="s">
        <v>25</v>
      </c>
      <c r="H21" s="13" t="s">
        <v>33</v>
      </c>
      <c r="I21" s="5" t="s">
        <v>1933</v>
      </c>
    </row>
    <row r="22" spans="1:9">
      <c r="A22" t="s">
        <v>1930</v>
      </c>
      <c r="B22">
        <v>200</v>
      </c>
      <c r="C22" t="s">
        <v>1931</v>
      </c>
      <c r="D22" t="s">
        <v>1962</v>
      </c>
      <c r="E22" t="s">
        <v>1411</v>
      </c>
      <c r="F22" t="s">
        <v>5</v>
      </c>
      <c r="G22" t="s">
        <v>27</v>
      </c>
      <c r="H22" s="13" t="s">
        <v>33</v>
      </c>
      <c r="I22" s="5" t="s">
        <v>1963</v>
      </c>
    </row>
    <row r="23" spans="1:9">
      <c r="A23" t="s">
        <v>1930</v>
      </c>
      <c r="B23">
        <v>200</v>
      </c>
      <c r="C23" t="s">
        <v>1931</v>
      </c>
      <c r="D23" t="s">
        <v>1964</v>
      </c>
      <c r="E23" t="s">
        <v>1827</v>
      </c>
      <c r="F23" t="s">
        <v>5</v>
      </c>
      <c r="G23" t="s">
        <v>25</v>
      </c>
      <c r="H23" s="13" t="s">
        <v>33</v>
      </c>
      <c r="I23" s="5" t="s">
        <v>1965</v>
      </c>
    </row>
    <row r="24" spans="1:9">
      <c r="A24" t="s">
        <v>1930</v>
      </c>
      <c r="B24">
        <v>200</v>
      </c>
      <c r="C24" t="s">
        <v>1931</v>
      </c>
      <c r="D24" t="s">
        <v>1966</v>
      </c>
      <c r="E24" t="s">
        <v>1702</v>
      </c>
      <c r="F24" t="s">
        <v>5</v>
      </c>
      <c r="G24" t="s">
        <v>27</v>
      </c>
      <c r="H24" s="13" t="s">
        <v>33</v>
      </c>
      <c r="I24" s="5" t="s">
        <v>1965</v>
      </c>
    </row>
    <row r="25" spans="1:9">
      <c r="A25" t="s">
        <v>1930</v>
      </c>
      <c r="B25">
        <v>200</v>
      </c>
      <c r="C25" t="s">
        <v>1931</v>
      </c>
      <c r="D25" t="s">
        <v>1967</v>
      </c>
      <c r="E25" t="s">
        <v>157</v>
      </c>
      <c r="F25" t="s">
        <v>3</v>
      </c>
      <c r="G25" t="s">
        <v>26</v>
      </c>
      <c r="H25" s="13" t="s">
        <v>33</v>
      </c>
      <c r="I25" s="5" t="s">
        <v>1968</v>
      </c>
    </row>
    <row r="26" spans="1:9">
      <c r="A26" t="s">
        <v>1930</v>
      </c>
      <c r="B26">
        <v>200</v>
      </c>
      <c r="C26" t="s">
        <v>1931</v>
      </c>
      <c r="D26" t="s">
        <v>1969</v>
      </c>
      <c r="E26" t="s">
        <v>577</v>
      </c>
      <c r="F26" t="s">
        <v>3</v>
      </c>
      <c r="G26" t="s">
        <v>26</v>
      </c>
      <c r="H26" s="13" t="s">
        <v>33</v>
      </c>
      <c r="I26" s="5" t="s">
        <v>1968</v>
      </c>
    </row>
    <row r="27" spans="1:9">
      <c r="A27" t="s">
        <v>1930</v>
      </c>
      <c r="B27">
        <v>200</v>
      </c>
      <c r="C27" t="s">
        <v>1931</v>
      </c>
      <c r="D27" t="s">
        <v>1970</v>
      </c>
      <c r="E27" t="s">
        <v>545</v>
      </c>
      <c r="F27" t="s">
        <v>3</v>
      </c>
      <c r="G27" t="s">
        <v>26</v>
      </c>
      <c r="H27" s="13" t="s">
        <v>33</v>
      </c>
      <c r="I27" s="5" t="s">
        <v>1968</v>
      </c>
    </row>
    <row r="28" spans="1:9">
      <c r="A28" t="s">
        <v>1930</v>
      </c>
      <c r="B28">
        <v>200</v>
      </c>
      <c r="C28" t="s">
        <v>1931</v>
      </c>
      <c r="D28" t="s">
        <v>1971</v>
      </c>
      <c r="E28" t="s">
        <v>1613</v>
      </c>
      <c r="F28" t="s">
        <v>2</v>
      </c>
      <c r="G28" t="s">
        <v>25</v>
      </c>
      <c r="H28" s="13" t="s">
        <v>33</v>
      </c>
      <c r="I28" s="5" t="s">
        <v>2</v>
      </c>
    </row>
    <row r="29" spans="1:9">
      <c r="A29" t="s">
        <v>1930</v>
      </c>
      <c r="B29">
        <v>200</v>
      </c>
      <c r="C29" t="s">
        <v>1931</v>
      </c>
      <c r="D29" t="s">
        <v>1972</v>
      </c>
      <c r="E29" t="s">
        <v>66</v>
      </c>
      <c r="F29" t="s">
        <v>8</v>
      </c>
      <c r="G29" t="s">
        <v>26</v>
      </c>
      <c r="H29" s="13" t="s">
        <v>33</v>
      </c>
      <c r="I29" s="5" t="s">
        <v>1973</v>
      </c>
    </row>
    <row r="30" spans="1:9">
      <c r="A30" t="s">
        <v>1930</v>
      </c>
      <c r="B30">
        <v>200</v>
      </c>
      <c r="C30" t="s">
        <v>1931</v>
      </c>
      <c r="D30" t="s">
        <v>125</v>
      </c>
      <c r="E30" t="s">
        <v>125</v>
      </c>
      <c r="F30" t="s">
        <v>8</v>
      </c>
      <c r="G30" t="s">
        <v>26</v>
      </c>
      <c r="H30" s="13" t="s">
        <v>33</v>
      </c>
      <c r="I30" s="5" t="s">
        <v>1974</v>
      </c>
    </row>
    <row r="31" spans="1:9">
      <c r="A31" t="s">
        <v>1930</v>
      </c>
      <c r="B31">
        <v>200</v>
      </c>
      <c r="C31" t="s">
        <v>1931</v>
      </c>
      <c r="D31" t="s">
        <v>1975</v>
      </c>
      <c r="E31" t="s">
        <v>379</v>
      </c>
      <c r="F31" t="s">
        <v>8</v>
      </c>
      <c r="G31" t="s">
        <v>26</v>
      </c>
      <c r="H31" s="13" t="s">
        <v>33</v>
      </c>
      <c r="I31" s="5" t="s">
        <v>1974</v>
      </c>
    </row>
    <row r="32" spans="1:9">
      <c r="A32" t="s">
        <v>1930</v>
      </c>
      <c r="B32">
        <v>200</v>
      </c>
      <c r="C32" t="s">
        <v>1931</v>
      </c>
      <c r="D32" t="s">
        <v>1976</v>
      </c>
      <c r="E32" t="s">
        <v>528</v>
      </c>
      <c r="F32" t="s">
        <v>8</v>
      </c>
      <c r="G32" t="s">
        <v>26</v>
      </c>
      <c r="H32" s="13" t="s">
        <v>33</v>
      </c>
      <c r="I32" s="5" t="s">
        <v>1977</v>
      </c>
    </row>
    <row r="33" spans="1:9">
      <c r="A33" t="s">
        <v>1930</v>
      </c>
      <c r="B33">
        <v>200</v>
      </c>
      <c r="C33" t="s">
        <v>1931</v>
      </c>
      <c r="D33" t="s">
        <v>1978</v>
      </c>
      <c r="E33" t="s">
        <v>1319</v>
      </c>
      <c r="F33" t="s">
        <v>8</v>
      </c>
      <c r="G33" t="s">
        <v>26</v>
      </c>
      <c r="H33" s="13" t="s">
        <v>33</v>
      </c>
      <c r="I33" s="5" t="s">
        <v>1977</v>
      </c>
    </row>
    <row r="34" spans="1:9">
      <c r="A34" t="s">
        <v>1930</v>
      </c>
      <c r="B34">
        <v>200</v>
      </c>
      <c r="C34" t="s">
        <v>1931</v>
      </c>
      <c r="D34" t="s">
        <v>1979</v>
      </c>
      <c r="E34" t="s">
        <v>1243</v>
      </c>
      <c r="F34" t="s">
        <v>8</v>
      </c>
      <c r="G34" t="s">
        <v>26</v>
      </c>
      <c r="H34" s="13" t="s">
        <v>33</v>
      </c>
      <c r="I34" s="5" t="s">
        <v>1980</v>
      </c>
    </row>
    <row r="35" spans="1:9">
      <c r="A35" t="s">
        <v>1930</v>
      </c>
      <c r="B35">
        <v>200</v>
      </c>
      <c r="C35" t="s">
        <v>1931</v>
      </c>
      <c r="D35" t="s">
        <v>1981</v>
      </c>
      <c r="E35" t="s">
        <v>1642</v>
      </c>
      <c r="F35" t="s">
        <v>8</v>
      </c>
      <c r="G35" t="s">
        <v>26</v>
      </c>
      <c r="H35" s="13" t="s">
        <v>33</v>
      </c>
      <c r="I35" s="5" t="s">
        <v>8</v>
      </c>
    </row>
    <row r="36" spans="1:9">
      <c r="A36" t="s">
        <v>1930</v>
      </c>
      <c r="B36">
        <v>200</v>
      </c>
      <c r="C36" t="s">
        <v>1931</v>
      </c>
      <c r="D36" t="s">
        <v>1982</v>
      </c>
      <c r="E36" t="s">
        <v>1642</v>
      </c>
      <c r="F36" t="s">
        <v>8</v>
      </c>
      <c r="G36" t="s">
        <v>26</v>
      </c>
      <c r="H36" s="13" t="s">
        <v>33</v>
      </c>
      <c r="I36" s="5" t="s">
        <v>8</v>
      </c>
    </row>
    <row r="37" spans="1:9">
      <c r="A37" t="s">
        <v>1930</v>
      </c>
      <c r="B37">
        <v>200</v>
      </c>
      <c r="C37" t="s">
        <v>1931</v>
      </c>
      <c r="D37" t="s">
        <v>1983</v>
      </c>
      <c r="E37" t="s">
        <v>1085</v>
      </c>
      <c r="F37" t="s">
        <v>8</v>
      </c>
      <c r="G37" t="s">
        <v>26</v>
      </c>
      <c r="H37" s="13" t="s">
        <v>33</v>
      </c>
      <c r="I37" s="5" t="s">
        <v>8</v>
      </c>
    </row>
    <row r="38" spans="1:9">
      <c r="A38" t="s">
        <v>1930</v>
      </c>
      <c r="B38">
        <v>200</v>
      </c>
      <c r="C38" t="s">
        <v>1931</v>
      </c>
      <c r="D38" t="s">
        <v>1984</v>
      </c>
      <c r="E38" t="s">
        <v>1599</v>
      </c>
      <c r="F38" t="s">
        <v>8</v>
      </c>
      <c r="G38" t="s">
        <v>26</v>
      </c>
      <c r="H38" s="13" t="s">
        <v>33</v>
      </c>
      <c r="I38" s="5" t="s">
        <v>1985</v>
      </c>
    </row>
    <row r="39" spans="1:9">
      <c r="A39" t="s">
        <v>1930</v>
      </c>
      <c r="B39">
        <v>200</v>
      </c>
      <c r="C39" t="s">
        <v>1931</v>
      </c>
      <c r="D39" t="s">
        <v>1986</v>
      </c>
      <c r="E39" t="s">
        <v>1037</v>
      </c>
      <c r="F39" t="s">
        <v>8</v>
      </c>
      <c r="G39" t="s">
        <v>26</v>
      </c>
      <c r="H39" s="13" t="s">
        <v>33</v>
      </c>
      <c r="I39" s="5" t="s">
        <v>1987</v>
      </c>
    </row>
    <row r="40" spans="1:9">
      <c r="A40" t="s">
        <v>1930</v>
      </c>
      <c r="B40">
        <v>200</v>
      </c>
      <c r="C40" t="s">
        <v>1931</v>
      </c>
      <c r="D40" t="s">
        <v>1988</v>
      </c>
      <c r="E40" t="s">
        <v>180</v>
      </c>
      <c r="F40" t="s">
        <v>9</v>
      </c>
      <c r="G40" t="s">
        <v>26</v>
      </c>
      <c r="H40" s="13" t="s">
        <v>33</v>
      </c>
      <c r="I40" s="5" t="s">
        <v>1989</v>
      </c>
    </row>
    <row r="41" spans="1:9">
      <c r="A41" t="s">
        <v>1930</v>
      </c>
      <c r="B41">
        <v>200</v>
      </c>
      <c r="C41" t="s">
        <v>1931</v>
      </c>
      <c r="D41" t="s">
        <v>1990</v>
      </c>
      <c r="E41" t="s">
        <v>1211</v>
      </c>
      <c r="F41" t="s">
        <v>9</v>
      </c>
      <c r="G41" t="s">
        <v>26</v>
      </c>
      <c r="H41" s="13" t="s">
        <v>33</v>
      </c>
      <c r="I41" s="5" t="s">
        <v>1991</v>
      </c>
    </row>
    <row r="42" spans="1:9">
      <c r="A42" t="s">
        <v>1930</v>
      </c>
      <c r="B42">
        <v>200</v>
      </c>
      <c r="C42" t="s">
        <v>1931</v>
      </c>
      <c r="D42" t="s">
        <v>1992</v>
      </c>
      <c r="E42" t="s">
        <v>193</v>
      </c>
      <c r="F42" t="s">
        <v>11</v>
      </c>
      <c r="G42" t="s">
        <v>27</v>
      </c>
      <c r="H42" s="13" t="s">
        <v>33</v>
      </c>
      <c r="I42" s="5" t="s">
        <v>1993</v>
      </c>
    </row>
    <row r="43" spans="1:9">
      <c r="A43" t="s">
        <v>1930</v>
      </c>
      <c r="B43">
        <v>200</v>
      </c>
      <c r="C43" t="s">
        <v>1931</v>
      </c>
      <c r="D43" t="s">
        <v>1994</v>
      </c>
      <c r="E43" t="s">
        <v>193</v>
      </c>
      <c r="F43" t="s">
        <v>11</v>
      </c>
      <c r="G43" t="s">
        <v>27</v>
      </c>
      <c r="H43" s="13" t="s">
        <v>33</v>
      </c>
      <c r="I43" s="5" t="s">
        <v>1993</v>
      </c>
    </row>
    <row r="44" spans="1:9">
      <c r="A44" t="s">
        <v>1930</v>
      </c>
      <c r="B44">
        <v>190</v>
      </c>
      <c r="C44" t="s">
        <v>1931</v>
      </c>
      <c r="D44" t="s">
        <v>1995</v>
      </c>
      <c r="E44" t="s">
        <v>52</v>
      </c>
      <c r="F44" t="s">
        <v>3</v>
      </c>
      <c r="G44" t="s">
        <v>26</v>
      </c>
      <c r="H44" s="6" t="s">
        <v>34</v>
      </c>
      <c r="I44" s="5" t="s">
        <v>1996</v>
      </c>
    </row>
    <row r="45" spans="1:9">
      <c r="A45" t="s">
        <v>1930</v>
      </c>
      <c r="B45">
        <v>190</v>
      </c>
      <c r="C45" t="s">
        <v>1931</v>
      </c>
      <c r="D45" t="s">
        <v>1997</v>
      </c>
      <c r="E45" t="s">
        <v>150</v>
      </c>
      <c r="F45" t="s">
        <v>3</v>
      </c>
      <c r="G45" t="s">
        <v>26</v>
      </c>
      <c r="H45" s="6" t="s">
        <v>34</v>
      </c>
      <c r="I45" s="5" t="s">
        <v>1998</v>
      </c>
    </row>
    <row r="46" spans="1:9">
      <c r="A46" t="s">
        <v>1930</v>
      </c>
      <c r="B46">
        <v>190</v>
      </c>
      <c r="C46" t="s">
        <v>1931</v>
      </c>
      <c r="D46" t="s">
        <v>1999</v>
      </c>
      <c r="E46" t="s">
        <v>1393</v>
      </c>
      <c r="F46" t="s">
        <v>3</v>
      </c>
      <c r="G46" t="s">
        <v>26</v>
      </c>
      <c r="H46" s="6" t="s">
        <v>34</v>
      </c>
      <c r="I46" s="5" t="s">
        <v>2000</v>
      </c>
    </row>
    <row r="47" spans="1:9">
      <c r="A47" t="s">
        <v>1930</v>
      </c>
      <c r="B47">
        <v>190</v>
      </c>
      <c r="C47" t="s">
        <v>1931</v>
      </c>
      <c r="D47" t="s">
        <v>2001</v>
      </c>
      <c r="E47" t="s">
        <v>944</v>
      </c>
      <c r="F47" t="s">
        <v>3</v>
      </c>
      <c r="G47" t="s">
        <v>26</v>
      </c>
      <c r="H47" s="13" t="s">
        <v>33</v>
      </c>
      <c r="I47" s="5" t="s">
        <v>2002</v>
      </c>
    </row>
    <row r="48" spans="1:9">
      <c r="A48" t="s">
        <v>1930</v>
      </c>
      <c r="B48">
        <v>190</v>
      </c>
      <c r="C48" t="s">
        <v>1931</v>
      </c>
      <c r="D48" t="s">
        <v>2003</v>
      </c>
      <c r="E48" t="s">
        <v>869</v>
      </c>
      <c r="F48" t="s">
        <v>9</v>
      </c>
      <c r="G48" t="s">
        <v>27</v>
      </c>
      <c r="H48" s="6" t="s">
        <v>34</v>
      </c>
      <c r="I48" s="5" t="s">
        <v>2004</v>
      </c>
    </row>
    <row r="49" spans="1:9">
      <c r="A49" t="s">
        <v>1930</v>
      </c>
      <c r="B49">
        <v>190</v>
      </c>
      <c r="C49" t="s">
        <v>1931</v>
      </c>
      <c r="D49" t="s">
        <v>2005</v>
      </c>
      <c r="E49" t="s">
        <v>559</v>
      </c>
      <c r="F49" t="s">
        <v>12</v>
      </c>
      <c r="G49" t="s">
        <v>26</v>
      </c>
      <c r="H49" s="6" t="s">
        <v>34</v>
      </c>
      <c r="I49" s="5" t="s">
        <v>2006</v>
      </c>
    </row>
    <row r="50" spans="1:9">
      <c r="A50" t="s">
        <v>1930</v>
      </c>
      <c r="B50">
        <v>180</v>
      </c>
      <c r="C50" t="s">
        <v>1931</v>
      </c>
      <c r="D50" t="s">
        <v>2007</v>
      </c>
      <c r="E50" t="s">
        <v>265</v>
      </c>
      <c r="F50" t="s">
        <v>3</v>
      </c>
      <c r="G50" t="s">
        <v>26</v>
      </c>
      <c r="H50" s="13" t="s">
        <v>33</v>
      </c>
      <c r="I50" s="5" t="s">
        <v>2008</v>
      </c>
    </row>
    <row r="51" spans="1:9">
      <c r="A51" t="s">
        <v>1930</v>
      </c>
      <c r="B51">
        <v>180</v>
      </c>
      <c r="C51" t="s">
        <v>1931</v>
      </c>
      <c r="D51" t="s">
        <v>2009</v>
      </c>
      <c r="E51" t="s">
        <v>504</v>
      </c>
      <c r="F51" t="s">
        <v>3</v>
      </c>
      <c r="G51" t="s">
        <v>26</v>
      </c>
      <c r="H51" s="13" t="s">
        <v>33</v>
      </c>
      <c r="I51" s="5" t="s">
        <v>2010</v>
      </c>
    </row>
    <row r="52" spans="1:9">
      <c r="A52" t="s">
        <v>1930</v>
      </c>
      <c r="B52">
        <v>180</v>
      </c>
      <c r="C52" t="s">
        <v>1931</v>
      </c>
      <c r="D52" t="s">
        <v>2011</v>
      </c>
      <c r="E52" t="s">
        <v>1070</v>
      </c>
      <c r="F52" t="s">
        <v>3</v>
      </c>
      <c r="G52" t="s">
        <v>26</v>
      </c>
      <c r="H52" s="13" t="s">
        <v>33</v>
      </c>
      <c r="I52" s="5" t="s">
        <v>2012</v>
      </c>
    </row>
    <row r="53" spans="1:9">
      <c r="A53" t="s">
        <v>1930</v>
      </c>
      <c r="B53">
        <v>180</v>
      </c>
      <c r="C53" t="s">
        <v>1931</v>
      </c>
      <c r="D53" t="s">
        <v>2013</v>
      </c>
      <c r="E53" t="s">
        <v>1476</v>
      </c>
      <c r="F53" t="s">
        <v>3</v>
      </c>
      <c r="G53" t="s">
        <v>26</v>
      </c>
      <c r="H53" s="13" t="s">
        <v>33</v>
      </c>
      <c r="I53" s="5" t="s">
        <v>2010</v>
      </c>
    </row>
    <row r="54" spans="1:9">
      <c r="A54" t="s">
        <v>1930</v>
      </c>
      <c r="B54">
        <v>180</v>
      </c>
      <c r="C54" t="s">
        <v>1931</v>
      </c>
      <c r="D54" t="s">
        <v>2014</v>
      </c>
      <c r="E54" t="s">
        <v>1559</v>
      </c>
      <c r="F54" t="s">
        <v>3</v>
      </c>
      <c r="G54" t="s">
        <v>26</v>
      </c>
      <c r="H54" s="13" t="s">
        <v>33</v>
      </c>
      <c r="I54" s="5" t="s">
        <v>2010</v>
      </c>
    </row>
    <row r="55" spans="1:9">
      <c r="A55" t="s">
        <v>1930</v>
      </c>
      <c r="B55">
        <v>180</v>
      </c>
      <c r="C55" t="s">
        <v>1931</v>
      </c>
      <c r="D55" t="s">
        <v>2015</v>
      </c>
      <c r="E55" t="s">
        <v>1120</v>
      </c>
      <c r="F55" t="s">
        <v>9</v>
      </c>
      <c r="G55" t="s">
        <v>26</v>
      </c>
      <c r="H55" s="6" t="s">
        <v>34</v>
      </c>
      <c r="I55" s="5" t="s">
        <v>2016</v>
      </c>
    </row>
    <row r="56" spans="1:9">
      <c r="A56" t="s">
        <v>1930</v>
      </c>
      <c r="B56">
        <v>180</v>
      </c>
      <c r="C56" t="s">
        <v>1931</v>
      </c>
      <c r="D56" t="s">
        <v>2017</v>
      </c>
      <c r="E56" t="s">
        <v>511</v>
      </c>
      <c r="F56" t="s">
        <v>14</v>
      </c>
      <c r="G56" t="s">
        <v>27</v>
      </c>
      <c r="H56" s="6" t="s">
        <v>34</v>
      </c>
      <c r="I56" s="5" t="s">
        <v>2018</v>
      </c>
    </row>
    <row r="57" spans="1:9">
      <c r="A57" t="s">
        <v>1930</v>
      </c>
      <c r="B57">
        <v>170</v>
      </c>
      <c r="C57" t="s">
        <v>1931</v>
      </c>
      <c r="D57" t="s">
        <v>2019</v>
      </c>
      <c r="E57" t="s">
        <v>1146</v>
      </c>
      <c r="F57" t="s">
        <v>2</v>
      </c>
      <c r="G57" t="s">
        <v>25</v>
      </c>
      <c r="H57" s="6" t="s">
        <v>34</v>
      </c>
      <c r="I57" s="5" t="s">
        <v>2020</v>
      </c>
    </row>
    <row r="58" spans="1:9">
      <c r="A58" t="s">
        <v>1930</v>
      </c>
      <c r="B58">
        <v>170</v>
      </c>
      <c r="C58" t="s">
        <v>1931</v>
      </c>
      <c r="D58" t="s">
        <v>2021</v>
      </c>
      <c r="E58" t="s">
        <v>1146</v>
      </c>
      <c r="F58" t="s">
        <v>2</v>
      </c>
      <c r="G58" t="s">
        <v>25</v>
      </c>
      <c r="H58" s="6" t="s">
        <v>34</v>
      </c>
      <c r="I58" s="5" t="s">
        <v>2020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6.7109375" customWidth="1"/>
    <col min="3" max="4" width="16.7109375" customWidth="1"/>
    <col min="5" max="5" width="52.7109375" customWidth="1"/>
    <col min="6" max="6" width="8.7109375" customWidth="1"/>
    <col min="7" max="7" width="60.7109375" customWidth="1"/>
  </cols>
  <sheetData>
    <row r="1" spans="1:7">
      <c r="A1" s="9" t="s">
        <v>38</v>
      </c>
      <c r="B1" s="9" t="s">
        <v>39</v>
      </c>
      <c r="C1" s="9" t="s">
        <v>2022</v>
      </c>
      <c r="D1" s="9" t="s">
        <v>2023</v>
      </c>
      <c r="E1" s="9" t="s">
        <v>48</v>
      </c>
      <c r="F1" s="9" t="s">
        <v>2024</v>
      </c>
      <c r="G1" s="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4.7109375" customWidth="1"/>
    <col min="2" max="2" width="66.7109375" customWidth="1"/>
    <col min="3" max="3" width="28.7109375" customWidth="1"/>
    <col min="4" max="4" width="66.7109375" customWidth="1"/>
  </cols>
  <sheetData>
    <row r="1" spans="1:4">
      <c r="A1" s="1" t="s">
        <v>2025</v>
      </c>
      <c r="B1" s="1"/>
      <c r="C1" s="1"/>
      <c r="D1" s="1"/>
    </row>
    <row r="3" spans="1:4">
      <c r="A3" s="5" t="s">
        <v>2026</v>
      </c>
      <c r="B3" s="5" t="s">
        <v>2027</v>
      </c>
      <c r="C3" s="5" t="s">
        <v>2028</v>
      </c>
      <c r="D3" s="5" t="s">
        <v>2029</v>
      </c>
    </row>
    <row r="4" spans="1:4">
      <c r="A4" s="5" t="s">
        <v>2030</v>
      </c>
      <c r="B4" s="5" t="s">
        <v>2031</v>
      </c>
      <c r="C4" s="5" t="s">
        <v>2032</v>
      </c>
      <c r="D4" s="5" t="s">
        <v>2033</v>
      </c>
    </row>
    <row r="5" spans="1:4">
      <c r="A5" s="5" t="s">
        <v>2034</v>
      </c>
      <c r="B5" s="7">
        <v>20478.71</v>
      </c>
      <c r="C5" s="5" t="s">
        <v>2035</v>
      </c>
      <c r="D5" s="7">
        <v>25462.14</v>
      </c>
    </row>
    <row r="6" spans="1:4">
      <c r="A6" s="5" t="s">
        <v>1909</v>
      </c>
      <c r="B6" s="5">
        <v>787</v>
      </c>
      <c r="C6" s="5" t="s">
        <v>2036</v>
      </c>
      <c r="D6" s="5">
        <v>0</v>
      </c>
    </row>
    <row r="7" spans="1:4">
      <c r="A7" s="5" t="s">
        <v>2037</v>
      </c>
      <c r="B7" s="5" t="s">
        <v>2038</v>
      </c>
      <c r="C7" s="5" t="s">
        <v>2039</v>
      </c>
      <c r="D7" s="5">
        <v>57</v>
      </c>
    </row>
    <row r="8" spans="1:4">
      <c r="A8" s="5" t="s">
        <v>2040</v>
      </c>
      <c r="B8" s="5" t="s">
        <v>2041</v>
      </c>
      <c r="C8" s="5" t="s">
        <v>2042</v>
      </c>
      <c r="D8" s="5" t="s">
        <v>2043</v>
      </c>
    </row>
    <row r="9" spans="1:4">
      <c r="A9" s="5" t="s">
        <v>2044</v>
      </c>
      <c r="B9" s="5" t="s">
        <v>2045</v>
      </c>
      <c r="C9" s="5" t="s">
        <v>2046</v>
      </c>
      <c r="D9" s="5" t="s">
        <v>2047</v>
      </c>
    </row>
    <row r="10" spans="1:4">
      <c r="A10" s="5" t="s">
        <v>2048</v>
      </c>
      <c r="B10" s="5" t="s">
        <v>2049</v>
      </c>
      <c r="C10" s="5" t="s">
        <v>2050</v>
      </c>
      <c r="D10" s="5" t="s">
        <v>2051</v>
      </c>
    </row>
    <row r="11" spans="1:4">
      <c r="A11" s="5" t="s">
        <v>2052</v>
      </c>
      <c r="B11" s="5" t="s">
        <v>2053</v>
      </c>
      <c r="C11" s="5" t="s">
        <v>2054</v>
      </c>
      <c r="D11" s="5" t="s">
        <v>2055</v>
      </c>
    </row>
    <row r="12" spans="1:4">
      <c r="A12" s="5" t="s">
        <v>2056</v>
      </c>
      <c r="B12" s="5" t="s">
        <v>2057</v>
      </c>
      <c r="C12" s="5" t="s">
        <v>2058</v>
      </c>
      <c r="D12" s="5" t="s">
        <v>2059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36.7109375" customWidth="1"/>
    <col min="2" max="3" width="20.7109375" customWidth="1"/>
  </cols>
  <sheetData>
    <row r="1" spans="1:3">
      <c r="A1" s="9" t="s">
        <v>0</v>
      </c>
      <c r="B1" s="9" t="s">
        <v>24</v>
      </c>
      <c r="C1" s="9" t="s">
        <v>32</v>
      </c>
    </row>
    <row r="2" spans="1:3">
      <c r="A2" t="s">
        <v>1</v>
      </c>
      <c r="B2" t="s">
        <v>25</v>
      </c>
      <c r="C2" t="s">
        <v>33</v>
      </c>
    </row>
    <row r="3" spans="1:3">
      <c r="A3" t="s">
        <v>2</v>
      </c>
      <c r="B3" t="s">
        <v>26</v>
      </c>
      <c r="C3" t="s">
        <v>34</v>
      </c>
    </row>
    <row r="4" spans="1:3">
      <c r="A4" t="s">
        <v>3</v>
      </c>
      <c r="B4" t="s">
        <v>27</v>
      </c>
      <c r="C4" t="s">
        <v>35</v>
      </c>
    </row>
    <row r="5" spans="1:3">
      <c r="A5" t="s">
        <v>4</v>
      </c>
      <c r="B5" t="s">
        <v>28</v>
      </c>
      <c r="C5" t="s">
        <v>36</v>
      </c>
    </row>
    <row r="6" spans="1:3">
      <c r="A6" t="s">
        <v>5</v>
      </c>
      <c r="B6" t="s">
        <v>29</v>
      </c>
      <c r="C6" t="s">
        <v>37</v>
      </c>
    </row>
    <row r="7" spans="1:3">
      <c r="A7" t="s">
        <v>6</v>
      </c>
      <c r="B7" t="s">
        <v>30</v>
      </c>
    </row>
    <row r="8" spans="1:3">
      <c r="A8" t="s">
        <v>7</v>
      </c>
      <c r="B8" t="s">
        <v>31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</row>
    <row r="16" spans="1:3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Transactions</vt:lpstr>
      <vt:lpstr>Monthly Summary</vt:lpstr>
      <vt:lpstr>Budget</vt:lpstr>
      <vt:lpstr>Merchant Review</vt:lpstr>
      <vt:lpstr>Merchant Rules</vt:lpstr>
      <vt:lpstr>Parser Review</vt:lpstr>
      <vt:lpstr>Assumptions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2026-09-08T05:24:55Z</dcterms:created>
  <dcterms:modified xsi:type="dcterms:W3CDTF">2026-09-08T05:24:55Z</dcterms:modified>
</cp:coreProperties>
</file>